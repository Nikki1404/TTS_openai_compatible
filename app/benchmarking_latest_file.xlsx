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2"/>
  <workbookPr hidePivotFieldList="1" defaultThemeVersion="124226"/>
  <mc:AlternateContent xmlns:mc="http://schemas.openxmlformats.org/markup-compatibility/2006">
    <mc:Choice Requires="x15">
      <x15ac:absPath xmlns:x15ac="http://schemas.microsoft.com/office/spreadsheetml/2010/11/ac" url="https://exlservicenam-my.sharepoint.com/personal/om224604_exlservice_com/Documents/Desktop/work/"/>
    </mc:Choice>
  </mc:AlternateContent>
  <xr:revisionPtr revIDLastSave="302" documentId="13_ncr:1_{EEFFA071-BA9A-4CA1-B68F-3F85B6931A5C}" xr6:coauthVersionLast="47" xr6:coauthVersionMax="47" xr10:uidLastSave="{271B86A3-0DCE-462B-829D-E73F01D5B867}"/>
  <bookViews>
    <workbookView xWindow="-110" yWindow="-110" windowWidth="19420" windowHeight="10300" firstSheet="1" activeTab="1" xr2:uid="{00000000-000D-0000-FFFF-FFFF00000000}"/>
  </bookViews>
  <sheets>
    <sheet name="Scores" sheetId="1" r:id="rId1"/>
    <sheet name="Comment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 l="1"/>
  <c r="I27" i="1"/>
  <c r="I46" i="1"/>
  <c r="I49" i="1"/>
  <c r="I50" i="1"/>
  <c r="I51" i="1"/>
  <c r="I52" i="1"/>
  <c r="I53" i="1"/>
  <c r="I45" i="1"/>
  <c r="I36" i="1"/>
  <c r="I39" i="1"/>
  <c r="I40" i="1"/>
  <c r="I41" i="1"/>
  <c r="I42" i="1"/>
  <c r="I43" i="1"/>
  <c r="I35" i="1"/>
  <c r="I25" i="1"/>
  <c r="I26" i="1"/>
  <c r="I28" i="1"/>
  <c r="I29" i="1"/>
  <c r="I30" i="1"/>
  <c r="I31" i="1"/>
  <c r="I32" i="1"/>
  <c r="I33" i="1"/>
  <c r="I24" i="1"/>
  <c r="I14" i="1"/>
  <c r="I15" i="1"/>
  <c r="I16" i="1"/>
  <c r="I17" i="1"/>
  <c r="I18" i="1"/>
  <c r="I19" i="1"/>
  <c r="I20" i="1"/>
  <c r="I21" i="1"/>
  <c r="I22" i="1"/>
  <c r="I13" i="1"/>
  <c r="I2" i="1"/>
  <c r="I3" i="1"/>
  <c r="I4" i="1"/>
  <c r="I5" i="1"/>
  <c r="I7" i="1"/>
  <c r="I8" i="1"/>
  <c r="I9" i="1"/>
  <c r="I10" i="1"/>
  <c r="I11" i="1"/>
</calcChain>
</file>

<file path=xl/sharedStrings.xml><?xml version="1.0" encoding="utf-8"?>
<sst xmlns="http://schemas.openxmlformats.org/spreadsheetml/2006/main" count="166" uniqueCount="103">
  <si>
    <t>File Name</t>
  </si>
  <si>
    <t>Audio Length</t>
  </si>
  <si>
    <t>Model</t>
  </si>
  <si>
    <t>Ground_truth</t>
  </si>
  <si>
    <t>Inference Time(in sec)</t>
  </si>
  <si>
    <t>Transcription</t>
  </si>
  <si>
    <t>WER Score</t>
  </si>
  <si>
    <t>Inference time (in sec)</t>
  </si>
  <si>
    <t>Real Time Factor</t>
  </si>
  <si>
    <t>Comments</t>
  </si>
  <si>
    <t>Average Real Time Factor</t>
  </si>
  <si>
    <t>Average WER Score</t>
  </si>
  <si>
    <t>Auto - Normal_mono</t>
  </si>
  <si>
    <t>whisper_distil</t>
  </si>
  <si>
    <t>All right, this is General Aaron. I am speaking with Sandra Soul on September 20th, 2022 at 11:58 AM Eastern Time. The statement may be used by any employee or designated representative for the investigation of any claim associated with the incident that occurred on September 13th, 2022 And that's Angie. You understand I started recording and I have your permission.  Yes, you do. Perfect. So it looks like the police report did come in and this happened on James Campbell. Blvd. in Columbia is that correct? Yes, at Lyon Parkway Drive. And did this happen in the morning? Evening. And what were you doing? Morning. Morning. I had left my husband in intensive care and I was running home to get something. And I missed my turn I thought. So it was a turn around on on James Campbell Blvd. So I went into it and sat and waited and I that's where I looked to the right. I didn't see anybody coming and I turned right and she hit me. So she had been right there. So you were so this road is like A two lane each way, but then there's medians where you can turn around Correct Ok And I have no idea how the other insurance company got shelter insurance as my insurance because I've had the insurance for 30 years. I'm not sure either. I saw that and I was like, well, no, that's not right, but. They didn't. They finally got a hold of me. Finally. I mean, it's been a zoo for a week. So basically you were traveling on James Campbell, you missed your turn and you went to do a legal U-turn in those areas and you were in the media and then when you and then when you turned out she was traveling on that road in the opposite direction. Right. No, in the same direction. Yeah, and it looks. Like that I was. Turning at yes, yes. Originally the opposite direction, but you were turning in the same direction as her. Right now I do see that she was in the outside lane. Were you trying to turn into the inside lane and made it too wide of a turn or you're actually trying to turn into the outside lane? I. I Was turning into the outside lane. I don't know how she ever hit me with the front part of her car. I don't know how that happened, but I have worried about it too much, believe me. OK, now on your 15 Nissan Rogue, what were the damages to your vehicle? My right front Fender. And there's something to the that right front door. I'll have to have it readjusted or something. But other than that, I believe it's just the Fender. And you were OK, Sandra. You weren't injured or anything?  No, I'm fine. And there was an ambulance there. They stopped at the accident. We were both fine. And it looks like when the police came to the scene, they filed the report, but nobody was given a ticket, correct? Because it looks like everybody was cordial. And all that stuff, right? Yeah. OK. Yeah, no tickets. And I've got the officers I had it here a second ago name and the number on the back of the card. We got the police report, so it's OK. OK. And you said about 100000 miles on your vehicle, is that correct? I think so, but I can go out and look right now. But when it does get inspected, no pre-existing damage during anything that us or a ******* company to be aware of. Perfect. No. OK. Ben knew your vehicle was drivable. It didn't have to be towed. It's still safe to drive. OK, perfect. And so is hers. She didn't think she could start it or drive it, but I think she was just so upset over the thing because the ambulance driver got in and started it right up and pulled it off the side of the road and it was just a dent in front of her right Fender. So I can tell you uh, regarding this one, based on the information, everything we have, we are going to be responsible for the other party damages, but we'll take care of that for you on your behalf. You have coverage up to 50000 since we're all, we'll take care of that for you. Regarding your vehicle, uh, you do have a 500 collision deductible if you're looking to get it repaired. There is no rental on the policy, but if one was needed, we could potentially provide that at a discounted rate. Umm, you can also choose any repair facility of your choice, Sandra, but we can also. Recommend any of our guaranteed repair facilities as well that would be able to. alright Let me write down. That's one thing I was going to call and ask you what I know there's a guaranteed 1 S of town but I have no idea what it is or where it is. no problem. I I know they texted you like our virtual app that would only be needed if you wanted to go to out of network shop. You just have to write a quick preliminary estimate off of that. And I can tell you the preferred shop that we have near you is called Caliber in Columbia South Pulaski Highway. Caliber California. California, correct? OK. OK, I will ask my husband if he's ever heard of it. Good day. No, it's fine in the next couple of. Days so if that shop. Is so if that shop works, just make sure you let me know because or or let the adjuster know whoever calls back regarding the vehicle and then they can set you up with that shop. If it's not, then you will have to take the photos with that virtual link that we sent you and then we would provide you a preliminary estimate to bring to any other shop, OK. OK. Alright, well, is your is your husband doing better now though? Not really, but give them time. They had to go in and do a colostomy and it's been a minute. Hopefully he fights through it and everything, but uh, hopefully we can try to make this as easy for you as possible. Once everything, once you make a decision on the shop, just let us know, OK OK, I will do that. Alright Sandra, we'll try to have a good rest of the week, OK Alright, thank you, my pleasure. Bye, bye, bye bye.</t>
  </si>
  <si>
    <t xml:space="preserve"> All right, this is Joe Arendt. I am speaking with Sandra Soule on September 20th, 2022, at 1158 a.m. Eastern Time. This statement may be used by any employee or designated representative for the investigation of any claim associated with the incident that occurred on September 13th, 2022. Now, Sandra, you understand I've started recording, and I have your permission. Yes, you do. Perfect. So it looks like the police report did come in, and this happened on James Campbell Boulevard in Columbia. Is that correct? Yes, at Lyon Parkway Drive. Okay. And did this happen in the morning, evening, or what were you doing? Morning, morning. I had left my husband in intensive care, and I was running home to get something. and I missed my turn, I thought. So it was a turnaround on James Campbell Boulevard. So I went into it and sat and waited, and that's where I looked to the right. I didn't see anybody coming. And I turned right, and she hit me. So she had to have been right there. So this road is like a two-lane each way, but then there's medians where you can turn around? Correct. Okay. Okay. And I have no idea how the other insurance company got shelter insurance as my insurance because I've had the same insurance for 30 years. I am not sure either. I saw that and I was like, well, no, that's not right. They finally got a hold of me. Finally. I mean, it's been a zoo for a week. So basically you were traveling on James Campbell You missed your turn and you went to do a Legal U-turn in those areas And you were in the median And then when you turned out she was traveling on that road In the opposite direction Right, no in the same direction Yeah and it looks like That I was turning at Yes, yes, originally the opposite direction But you were turning in the same direction as her Now I do see that she was in the outside lane Were you trying to turn into the inside lane And made it too wide of a turn Or were you actually trying to turn into the outside lane? I was turning into the outside lane. I don't know how she ever hit me with the front part of her car. I don't know how that happened. But I haven't worried about it too much, believe me. Okay. Now, on your 15 Nissan Rogue, what were the damages to your vehicle? My right front fender. And there's something to that right front door. I'll have to have it readjusted or something. But other than that, I believe it's just the fender. And you were okay, Sandra? You weren't injured or anything? No, I'm fine. Good. And there was an ambulance there. They stopped at the accident. We were both fine. And it looks like when the police came to the scene, they filed the report, but nobody was given a ticket, correct? because it looks like everybody was cordial and all that stuff. Right, yeah. Okay. Yep, no tickets. And I've got the officers. I had it here a second ago. Name and the number on the back of the card. Oh, we got the police report, so it's okay. Okay. And you said about 100,000 miles on your vehicle. Is that correct? I think so, but I can go out and look right now. No, you don't have to go out. No, you don't have to go out and do that. But when it does get inspected, no preexisting damage or anything that us or our body should be aware of. Perfect. No. Okay. But your vehicle was drivable. It didn't have to be towed. It still starts to drive. Okay, perfect. And so was hers. She didn't think she could start it or drive it, but I think she was just so upset over the thing because the ambulance driver got in and started it right up and pulled it off to the side of the road. And it was just a dent in the front of her right front fender. So I can tell you regarding this one, based on the information and everything we have, we are going to be responsible for the other party damages. But we'll take care of that for you on your behalf. You have coverage up to $50,000 since we're at fault. We'll take care of that for you. Regarding your vehicle, you do have a $500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All right, let me break down. That's one thing I was going to call and ask you. I know there's a guaranteed one south of town, but I have no idea what it is or where it is. No problem. I know they texted you like our virtual app. That would only be needed if you wanted to go to out-of-network shop. You would just have to write a quick preliminary estimate off of that. I'll just take it where it was taken. And I can tell you, the preferred shop that we have near you is called Caliber in Columbia. It's off Pulaski Highway. Caliber, C-A-L-I-E-R. Yeah, correct. Okay. Okay, I will ask my husband if he's ever heard of it. Not good at any. No, you're fine. The next couple days. So if that shop works, just make sure you let me know or let the adjuster know with whoever calls back regarding the vehicle, and then they can set you up with that shop. If it's not, then you will have to take the photos with that virtual link that we sent you, and then we would provide you a preliminary estimate to bring to any other shop, okay? Okay. All right. Well, is your husband doing better now, though? Not really. Well, yeah. Give him time. They had to go in and do a colostomy, and it's been a mess. Well, hopefully he fights through it and everything. But hopefully we can try to make this as easy for you as possible. Once everything, once you make a decision on the shop, just let us know, okay? Okay, I will do that. All right, Sandra. We'll try to have a good rest of the week, okay? All right, thank you. My pleasure. Bye-bye. Bye. Bye-bye. Thank you.</t>
  </si>
  <si>
    <t>whisper_turbo</t>
  </si>
  <si>
    <t>" All right, this is Joe Arendt. I am speaking with Sandra Soule on September 20th, 2022, at 1158 a.m. Eastern Time. This statement may be used by any employee or designated representative for the investigation of any claim associated with the incident that occurred on September 13th, 2022. Now, Sandra, you understand I've started recording, and I have your permission. Yes, you do. Perfect. So it looks like the police report did come in, and this happened on James Campbell Boulevard in Columbia. Is that correct? Yes, at Lyon Parkway Drive. Okay. And did this happen in the morning, evening, or what were you doing? Morning, morning. I had left my husband in intensive care, and I was running home to get something. and I missed my turn, I thought. So it was a turnaround on James Campbell Boulevard. So I went into it and sat and waited, and that's where I looked to the right. I didn't see anybody coming. And I turned right, and she hit me. So she had to have been right there. So this road is like a two-lane each way, but then there's medians where you can turn around? Correct. Okay. Okay. And I have no idea how the other insurance company got shelter insurance as my insurance because I've had the same insurance for 30 years. I am not sure either. I saw that and I was like, well, no, that's not right. They finally got a hold of me. Finally. I mean, it's been a zoo for a week. So basically you were traveling on James Campbell You missed your turn and you went to do a Legal U-turn in those areas And you were in the median And then when you turned out she was traveling on that road In the opposite direction Right, no in the same direction Yeah and it looks like That I was turning at Yes, yes, originally the opposite direction But you were turning in the same direction as her Now I do see that she was in the outside lane Were you trying to turn into the inside lane And made it too wide of a turn Or were you actually trying to turn into the outside lane? I was turning into the outside lane. I don't know how she ever hit me with the front part of her car. I don't know how that happened. But I haven't worried about it too much, believe me. Okay. Now, on your 15 Nissan Rogue, what were the damages to your vehicle? My right front fender. And there's something to that right front door. I'll have to have it readjusted or something. But other than that, I believe it's just the fender. And you were okay, Sandra? You weren't injured or anything? No, I'm fine. Good. And there was an ambulance there. They stopped at the accident. We were both fine. And it looks like when the police came to the scene, they filed the report, but nobody was given a ticket, correct? because it looks like everybody was cordial and all that stuff. Right, yeah. Okay. Yep, no tickets. And I've got the officers. I had it here a second ago. Name and the number on the back of the card. Oh, we got the police report, so it's okay. Okay. And you said about 100,000 miles on your vehicle. Is that correct? I think so, but I can go out and look right now. No, you don't have to go out. No, you don't have to go out and do that. But when it does get inspected, no preexisting damage or anything that us or our body should be aware of. Perfect. No. Okay. But your vehicle was drivable. It didn't have to be towed. It still starts to drive. Okay, perfect. And so was hers. She didn't think she could start it or drive it, but I think she was just so upset over the thing because the ambulance driver got in and started it right up and pulled it off to the side of the road. And it was just a dent in the front of her right front fender. So I can tell you regarding this one, based on the information and everything we have, we are going to be responsible for the other party damages. But we'll take care of that for you on your behalf. You have coverage up to $50,000 since we're at fault. We'll take care of that for you. Regarding your vehicle, you do have a $500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All right, let me break down. That's one thing I was going to call and ask you. I know there's a guaranteed one south of town, but I have no idea what it is or where it is. Yeah, no problem. I know they texted you like our virtual app. That would only be needed if you wanted to go to out-of-network shop. You would just have to write a quick preliminary estimate off of that. I'll just take it where it was taken. And I can tell you, the preferred shop that we have near you is called Caliber in Columbia. It's off Pulaski Highway. Caliber, C-A-L-I-E-R. Yeah, correct. Okay. Okay, I will ask my husband if he's ever heard of it. Not good at any. No, you're fine. The next couple days. So if that shop works, just make sure you let me know or let the adjuster know with whoever calls back regarding the vehicle, and then they can set you up with that shop. If it's not, then you will have to take the photos with that virtual link that we sent you, and then we would provide you a preliminary estimate to bring to any other shop, okay? Okay. All right. Well, is your husband doing better now, though? Not really. Well, yeah. Give him time. They had to go in and do a colostomy, and it's been a mess. Well, hopefully he fights through it and everything. But hopefully we can try to make this as easy for you as possible. Once everything, once you make a decision on the shop, just let us know, okay? Okay, I will do that. All right, Sandra. We'll try to have a good rest of the week, okay? All right, thank you. My pleasure. Bye-bye. Bye. Bye-bye. Thank you."</t>
  </si>
  <si>
    <t>parakeet_tdt_1.1</t>
  </si>
  <si>
    <t>all right this is general arend i am speaking with sandra sow on september twentieth two thousand and twenty two at eleven fifty eight am eastern time the statement may be used by any employee or designated representative for the investigation of any claim associated with the incident that occurred on september thirteenth two thousand and twenty two now sandra you understand i've started recording and i have your permission yes you do perfect so it looks like the police report did come in and this happened on james campbell boulevard of columbia is that correct yes at lion parkway drive okay and did this happen in the morning evening what were you doing morning morning i had left my husband in intensive care and i was running home to get something and i missed my turn i thought so it was a turnaround on james campbell boulevard so i went into it and sat and waited and i that's where i looked to the right i didn't see anybody coming and i turned right and she hit me she had to be right there so you were so this road is like a two lane each way but then there's medians where you can turn around correct okay and i have no idea how the other insurance company got shelter insurance is my insurance because i've had thirty years i am not sure either i saw that and i was like well no that's all right but they said and they finally got a hold of me finally i mean it's been a zoo for a week so basically you were traveling on james campbell you missed your turn and you went to do a legal u turn in those areas and you were in the median and then when you turned out she was traveling on that road in the opposite direction right no in the same direction yeah and it looks like i was turning on yes yes originally the opposite direction but you were turning in the same searching as her right now i do see that she was in the outside lane were you trying to turn into the inside lane and made it too wide of a turn or you're actually trying to turn into the outside lane i was turning into the outside lane i don't know how she ever hit me with the front part of her car i don't know how that happened but i have worried about it too much believe me okay now on your fifteen nissan road what were the damages to your vehicle my right front fender and there's something to the that right front door i'll have to have it readjusted or something but other than that i believe it's just the fender and you were okay sandra you weren't injured or anything no i'm fine and there was an ambulance there they stopped at the accident is fine and it looks like when the police came to the scene they filed the report but nobody was given a ticket correct because it looks like everybody was cordial and all that stuff right yeah okay yeah no ticket and i've got the officers i had it here a second ago name and the number on the back of the card well we got the police report so it's okay okay and you said about a hundred thousand miles on your vehicle is that correct i think so but i can go out and look right now you don't need to go no you don't go but when it does get inspected no pre existing damage or anything to us or a bonnet nobody to be aware of correct perfect no okay but your vehicle was drivable it didn't have to be towed it's still safe to drive okay perfect and so was hers she didn't think she could start it or drive it but i think she was just upset over the thing because the ambulance driver got in started it right up and pulled it off the side of the road and it was just a dent in the front of her right front fender so i can tell you regarding this one based on the information everything we have we are going to be responsible for the other party damages but we'll take care of that for you on your behalf you have coverage up to fifty thousand since we're fault we'll take care of that for you regarding your vehicle you do have a five hundred dollar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all right let me write down that's the one thing i was going to call and ask you what i know there's a guaranteed one south of town but i have no idea what it is or where it is no problem i know they texted you like our virtual app that would only be needed if you wanted to go to out of network shop you just have to write a quick preliminary estimate off of that takeaway it was taken and i can tell you the preferred shop that we have near you is called caliber in columbia it's off pulaski highway caliber c a ca correct okay okay i will ask my husband if he's ever heard of it no in the next couple of days so if that shop yes so if that shop works just make sure you let me know because well or or let the adjuster know whoever calls back regarding the vehicle and then they can set you up with that shop if it's not then you will have to take the photos with that virtual link that we sent you and then we would provide you a preliminary estimate to bring to any other shop okay okay well is your husband doing better now though not really well give him time they had to go in and do a colostomy well hopefully he fights through it and everything but hopefully we can try to make this easy for you as possible once everything once you make a decision on the shop just let us know okay okay i will do that all right sandra we'll try to have a good rest of the week okay all right thank you my pleasure bye bye bye bye bye</t>
  </si>
  <si>
    <t>canary</t>
  </si>
  <si>
    <t>All right, this is Joe Errant. I am speaking with Sandra Seoul on september twentieth, twenty twenty two at eleven fifty eight eastern time. This statement may be used by any employee or designated representative for the investigation of that. Okay, yeah. Okay. And then you were okay. I've started recording and I have your own. I've got the officers. I've got a little bit of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I've got a turn I</t>
  </si>
  <si>
    <t>repetitive decoding</t>
  </si>
  <si>
    <t>canary-1b</t>
  </si>
  <si>
    <t>NA due to inconsistency</t>
  </si>
  <si>
    <t>parakeet_tdt_CTC_110</t>
  </si>
  <si>
    <t xml:space="preserve">All Right, This is Joe Arendt. I am speaking with Sandra Sole on September 20, 2022, at 11:58 a.m., Eastern Time. This statement may be used by any employee or designated representative for the investigation of any claim associated with the incident that occurred on September 13, 2022. Now, Sandra, you understand, I've started recording and I have your permission. Yes, you do. Perfect. So it looks like the police report did come in and this happened on James Campbell Boulevard in Columbia. Is that correct? Yes, at Lion Parkway Drive. And did this happen in the morning? Evening. What were you doing morning? Morning. I had left my husband in intensive care. And I was running home to get something. And I missed my turn. I thought so. It was a turn on James Campbell Boulevard, so I went into it and sat and waited. That's where I looked to the right. I didn't see anybody coming. And I turned right and she hit me. so she had to have been right there. So this road is like a two lane each way, but then there's medians where you can turn around. Correct. Okay. Okay. And I have no idea how. The other insurance company got shelter insurance as my insurance because I've had. For 30 years. I am not sure either. I saw that and I was like, well, no, that's not right. They finally got a hold of me finally. I mean, it's been a zoo for a week. So basically you were traveling on James Campbell, you missed your turn, and you went to do a legal U turn in those areas and you were in the media and then when you turned out, she was traveling on that road in the opposite direction. Right. The same direction. Yeah, and it looks like that I was turning at. Yes, yes, originally the opposite direction, but you were turning in the same direction as her right now. I do see that she was in the outside lane. Were you trying to turn into the inside lane and made it too wide of a turn or were you actually trying to turn into the outside lane? I was turning into the outside lane. I don't know how she ever hit me with the front part of her car. I don't know how that happened. But I haven't worried about it too much, believe me. Okay, now on your 15 Nissan road, what were the damages to your vehicle? My right front fender. And there's something to that right front door. I'll have to have it readjusted or something. But other than that, I believe it's just a fender. And you were okay, Sandra, You weren't injured or anything? No, I'm fine. And there was an ambulance there. They stopped at the accident and we were both fine. And it looks like when the police came to the scene, they filed the report, but nobody was given a ticket. correct? Because it looks like everybody was cordial and all that stuff. Right. Yeah, okay. Yeah, no ticket. And I've got the officers. I had it here a 2nd ago. name and the number on the back of the card. Well, we got the police report, so it's okay. Okay. You said about 100000 mi on your vehicle. Is that correct? I think so, but I can go out and look right now. But when it does get inspected, no pre existing damage or anything to us or a body, they need to be aware of perfect. Okay. Your vehicle was drivable. It didn't have to be towed. It's safe to drive. Okay, perfect. And so is hers. She didn't think she could start it or drive it, but I think she was just so upset over the thing because the ambulance driver got in, started it right up, and pulled it off to the side of the road and it was just a dent in the front of her right front fender. So I can tell you regarding this one, based on the information, everything we have, we are going to be responsible for the other party damages, but we'll take care of that for you on your behalf. You have coverage up to 50000 since we fall. We'll take care of that for you. Regarding your vehicle, you do have a $500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Let me write down. that's one thing I was going to call and ask you what I know there's a guaranteed one south of town, but I have no idea what it is or where it is. No problem. I know they texted you like our virtual app that would only be needed if you wanted to go to a a network shop. You just have to write a quick preliminary estimate off of that. And I can tell you the preferred shop that we have near you is called Caliber in Columbia. It's off Pulaski Highway. Caliber C A. We are correct. Okay. Okay, I will ask my husband if he's ever heard of it. Not today. No. So if that shop works, just make sure you let me know. Or let the adjuster know whoever calls back regarding the vehicle and then they can. Set you up with that shop. If it's not, then you will have to take the photos with that virtual link that we sent you and then we will provide you a preliminary estimate to bring to any other shop. Okay. Okay. Is your husband doing better now though? Not really. Give them time They had to go in and do a colostomy and it's been a mess. Well. Hopefully he fights through it and everything, but hopefully we can try to make this as easy for you as possible. Once everything, once you make a decision on the shop, just let us know. Okay. Okay, I will do that. All right, Sandra, we'll try to have a good rest of the week. Okay? All right, thank you. My pleasure. Bye bye. Bye bye. Thank you. </t>
  </si>
  <si>
    <t>3 samples used</t>
  </si>
  <si>
    <t>parakeet-rnnt-1.1b-en-US-asr</t>
  </si>
  <si>
    <t>"All right, this is Joan Arendt. I am speaking with Sandra Sole on September 20, 2022, at 11:58 a.m., Eastern Time. This statement may be used by any employee or designated representative for the investigation of any claim associated with the incident that occurred. on September 13, 2022. Sandra, you understand, I've started recording and I have your permission. Yes, you do. Perfect. So it looks like the police report did come in and this happened on James Campbell Boulevard in Columbia. Is that correct? Yes, at Lion Parkway Drive. And did this happen in the. Morning, evening. What were you doing? Morning, morning. I had left my husband in intensive care and I was. home to get something and I missed my turn. I thought so there was a turnaround. on James Campbell Boulevard. So I went into it and sat and waited and I swear I looked to the right. I didn't see anybody coming. and I turned right and she hit me. so she had been right there. So you were. So this road is. like a two lane each way, but then there's medians where you can turn around. Correct? Okay. and I have No idea how the other insurance company got shelter insurance as my insurance 'cause I've had insurance for 30 years. So basically you were traveling on James Campbell, you missed your turn and you went to do a legal. direction. Yeah, it and it looks like yes, yes, originally the opposite direction but you were turning in the same direction as her right now I turning into the outside lane. I don't know how she ever hit me with the front part of her car. I don't know how that happened. now on your 15 Nissan. What were the damages to your vehicle? My right front fender. and there's some. tilde into the that right front door I'll have to have it readjusted or something but other than that I believe it's just the fender And and you were okay Sandra, you weren't injured or anything? No, I'm fine. Tilde was an ambulance there. They stopped at the accident. We were both fine. And it looks like when the police came to the scene, they filed the report, but nobody was given a ticket. correct? Because it looks like everybody was cordial and all that stuff. Right. Yeah. Okay. Yep, no tickets and I've got the officers. I had it here a 2nd ago. Name and the number on the back of the card. Oh, we got the police report. Okay, and you said about a hundred thousand miles on your vehicle. Is that correct? I think so, but I can go. But when it does get inspected, no pre existing damage or anything to us or buy the show, but it. your vehicle Perfect and so was hers. She didn't think she could start it or drive it, but I think she was just so upset over the thing 'cause the ambulance driver got in and started it right up. pulled it off to the side of the road and it was just a dent in the front of her right front fender so I can. Regarding this one, based on the information, everything we have, we are going to be responsible for the other party damages, but we'll take care of that for you on your behalf. You have. up to 50000 since we're will take care of that for you. Regarding your vehicle, you do have a $500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let me write down. That's one thing I was going to call and ask you. a guaranteed one south of town but I have no idea what it is or where it is. No problem I I know they texted you like our virtual app that would only needed if you wanted to go to out of network shop, you just have to write a quick preliminary estimate off of that. And I can tell you, the preferred shop that we have near you is called Caliber in Columbia. It's off Pulaski Highway. Okay, I will. So if that shop works, just make sure you let me know. cause we'll, or let the adjuster know whoever calls back regarding the vehicle and then they. can set you up with that shop. If it's not, then you will have to take the photos with that virtual link that we sent you. and then we would provide you a preliminary estimate to bring to any other shop. Okay. Hopefully he fights through it and everything, but hopefully we can try to make this easy. as possible. Once everything, once you make a decision on the shop, just let us know. Okay, okay, I will do that. All right, Sandra, we'll try to have. My pleasure. Bye bye. "</t>
  </si>
  <si>
    <t>riva (parakeet CTC 1.1b telephony)</t>
  </si>
  <si>
    <t xml:space="preserve">Right, This is Joe Arendt. I am speaking with Sandra Sole on September 20, 2022, at 11:58 a.m., Eastern Time. This statement may be used by any employee or designated representative for the investigation of any claim associated with the incident that occurred on September 13, 2022. Now, Sandra, you understand, I've started recording and I have your permission. Yes, you do. Perfect. So it looks like the police report did come in and this happened on James Campbell Boulevard in Columbia. Is that correct? Yes, at Lion Parkway Drive. And did this happen in the morning? Evening. What were you doing morning? Morning. I had left my husband in intensive care. And I was running home to get something. And I missed my turn. I thought so. It was a turn on James Campbell Boulevard, so I went into it and sat and waited. That's where I looked to the right. I didn't see anybody coming. And I turned right and she hit me. so she had to have been right there. So this road is like a two lane each way, but then there's medians where you can turn around. Correct. Okay. Okay. And I have no idea how. The other insurance company got shelter insurance as my insurance because I've had. For 30 years. I am not sure either. I saw that and I was like, well, no, that's not right. They finally got a hold of me finally. I mean, it's been a zoo for a week. So basically you were traveling on James Campbell, you missed your turn, and you went to do a legal U turn in those areas and you were in the media and then when you turned out, she was traveling on that road in the opposite direction. Right. The same direction. Yeah, and it looks like that I was turning at. Yes, yes, originally the opposite direction, but you were turning in the same direction as her right now. I do see that she was in the outside lane. Were you trying to turn into the inside lane and made it too wide of a turn or were you actually trying to turn into the outside lane? I was turning into the outside lane. I don't know how she ever hit me with the front part of her car. I don't know how that happened. But I haven't worried about it too much, believe me. Okay, now on your 15 Nissan road, what were the damages to your vehicle? My right front fender. And there's something to that right front door. I'll have to have it readjusted or something. But other than that, I believe it's just a fender. And you were okay, Sandra, You weren't injured or anything? No, I'm fine. And there was an ambulance there. They stopped at the accident and we were both fine. And it looks like when the police came to the scene, they filed the report, but nobody was given a ticket. correct? Because it looks like everybody was cordial and all that stuff. Right. Yeah, okay. Yeah, no ticket. And I've got the officers. I had it here a 2nd ago. name and the number on the back of the card. Well, we got the police report, so it's okay. Okay. You said about 100000 mi on your vehicle. Is that correct? I think so, but I can go out and look right now. But when it does get inspected, no pre existing damage or anything to us or a body, they need to be aware of perfect. Okay. Your vehicle was drivable. It didn't have to be towed. It's safe to drive. Okay, perfect. And so is hers. She didn't think she could start it or drive it, but I think she was just so upset over the thing because the ambulance driver got in, started it right up, and pulled it off to the side of the road and it was just a dent in the front of her right front fender. So I can tell you regarding this one, based on the information, everything we have, we are going to be responsible for the other party damages, but we'll take care of that for you on your behalf. You have coverage up to 50000 since we fall. We'll take care of that for you. Regarding your vehicle, you do have a $500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Let me write down. that's one thing I was going to call and ask you what I know there's a guaranteed one south of town, but I have no idea what it is or where it is. No problem. I know they texted you like our virtual app that would only be needed if you wanted to go to a a network shop. You just have to write a quick preliminary estimate off of that. And I can tell you the preferred shop that we have near you is called Caliber in Columbia. It's off Pulaski Highway. Caliber C A. We are correct. Okay. Okay, I will ask my husband if he's ever heard of it. Not today. No. So if that shop works, just make sure you let me know. Or let the adjuster know whoever calls back regarding the vehicle and then they can. Set you up with that shop. If it's not, then you will have to take the photos with that virtual link that we sent you and then we will provide you a preliminary estimate to bring to any other shop. Okay. Okay. Is your husband doing better now though? Not really. Give them time They had to go in and do a colostomy and it's been a mess. Well. Hopefully he fights through it and everything, but hopefully we can try to make this as easy for you as possible. Once everything, once you make a decision on the shop, just let us know. Okay. Okay, I will do that. All right, Sandra, we'll try to have a good rest of the week. Okay? All right, thank you. My pleasure. Bye bye. Bye bye. Thank you. </t>
  </si>
  <si>
    <t>azure (fast transcription API)</t>
  </si>
  <si>
    <t>All right, this is Joe Arendt. I am speaking with Sandra Sole on September 20th, 2022 at 11.58 A.m. Eastern Time. The statement may be used by any employee or designated representative for the investigation of any claim associated with the incident that occurred on September 13th, 2022. Now Sandra, you understand I've started recording and I have your permission. Yes, you do. Perfect. So it looks like the police report did come in and this happened on James Campbell. Boulevard in Columbia, is that correct? Yes, at Lyon Parkway Drive. Okay. And did this happen in the morning, evening? What were you doing? Morning. Morning. I had left my husband in intensive care, and I was running home to get something. And I missed my turn, I thought. So it was a turnaround on James Campbell Boulevard. So I went into it and sat and waited and I, that's where I looked to the right. I didn't see anybody coming. And I turned right and she hit me. So she had been right there. So you were, so this road is like a two lane each way, but then there's medians where you can turn around. Correct. Okay. And I have no idea how the other insurance company got shelter insurance as my insurance because I've had insurance for 30 years. I am not sure either. I saw that and I was like, well, no, that's not right. They finally got a hold of me. Finally. I mean, it's been a zoo for a week. So basically you were traveling on James Campbell, you missed your turn and you went to do a legal U-turn in those areas and you were in the median and then when you turned out, she was traveling on that road in the opposite direction. Right. No, in the same direction. Yeah, and it looks like... That I was turning on. Yes, Originally the opposite direction, but you were turning in the same direction as her. Right. Now I do see that she was in the outside lane. Were you trying to turn into the inside lane and made it too wide of a turn? Or were you actually trying to turn into the outside lane? I was turning into the outside lane. I don't know how she ever hit me with the front part of her car. I don't know how that happened. But I haven't worried about it too much, believe me. Okay. Now, on your '15 Nissan Rogue, what were the damages to your vehicle? My right front fender. And there's something to that right front door. I'll have to have it readjusted or something, but other than that, I believe it's just the fender. And you were okay, Sandra, you weren't injured or anything. No, I'm fine. And there was an ambulance there. They stopped at the accident. We were both fine. And it looks like when the police came to the scene, they filed the report, but nobody was given a ticket, correct? Because it looks like everybody was cordial and all that stuff. Right, yeah. Okay. Yep, no tickets. And I've got the officer's, I had it here a second ago, name and the number on the back of the card. Well, we got the police report, so it's okay. Okay. And you said about 100,000 miles on your vehicle, is that correct? I think so, but I can go out and look right now. But when it does get inspected, no pre-existing damage or anything that us or a body should be aware of, perfect. No. OK. But your vehicle was drivable. It didn't have to be towed. It's still safe to drive. OK, perfect. And so was hers. She didn't think she could start it or drive it, but I think she was just so upset over the thing because the ambulance driver got in, started it right up and pulled it off to the side of the road. And it was just a dent in the front of her right front fender. So I can tell you regarding this one, based on the information, everything we have, we are going to be responsible for the other party damages. But we'll take care of that for you on your behalf. You have coverage up to $50,000. So we'll take care of that for you. Regarding your vehicle, you do have a $500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Okay. All right. Let me write down. That's one thing I was going to call and ask you. I know there's a guaranteed one south of town, but I have no idea what it is or where it is. No problem. I know they texted you like our virtual app. That would only be needed if you wanted to go to an out-of-network shop. You would just have to write a quick preliminary estimate off of that. I'll just take where it was taken. And I can tell you, the preferred shop that we have near you is called Caliber in Columbia. It's off Pulaski Highway. Caliber C-A-L-I-E are correct. Okay. Okay, I will ask my husband if he's ever heard of it. No, he's fine. In the next couple of days. So if that shop works, just make sure you let me know, or let the adjuster know whoever calls back regarding the vehicle, and then they can set you up with that shop. If it's not, then you will have to take the photos with that virtual link that we sent you, and then we would provide you a preliminary estimate to bring to any other shop, okay. Okay. Alright. Is your husband doing better now though? Not really. Let's give him time. They had to go in and do a colostomy and it's been a mess. Hopefully he fights through it and everything. But hopefully we can try to make this as easy for you as possible. Once everything, once you make a decision on the shop, just let us know, okay? Okay. I will do that. Alright, Sandra. We'll try to have a good rest of the week, okay? All right, thank you. My pleasure. Bye-bye. Bye. Bye-bye.</t>
  </si>
  <si>
    <t>google (generic batch transcription API)</t>
  </si>
  <si>
    <t>right this is General errant I am speaking with Sandra sole on September 20th 2022 at 11:58 a.m. eastern time the statement may be used by any employee or designated representative for the investigation of any claim associated with the incident that occurred on September 13th 2022 that's Andrew you understand a sort of recording and I have your permission  yes you did perfect so it looks like the police report did come in and this happened on James Campbell  Boulevard in Columbia is that correct  yes at line Parkway Drive  did this happen in the morning evening and what were you doing morning morning  I had left my husband and intensive care and I was running home to get something  and I missed my turn I thought so it was a turn around on James Campbell Boulevard I went into it and Satan waited and I swear I looked at the right I didn't see anybody coming  and I turned right and she hit me so she had been right there  so you were so this road is like a two-lane each way then there's medians where you can turn around correct okay  and I have no idea how  the other insurance company got Shelter Insurance is my insurance because I've had the insurance for 30 years I am not sure either I saw that and I was like well no that's all right but they can they finally got a hold of me finally I mean it's been a zoo for a week  so risk you're traveling on James Campbell you missed your turn and you want to do a legal u-turn on those areas and you were in the media and then when you turned out she was traveling on that road in the opposite direction  right now same direction yeah it looks like that was turning on yes yes original Direction but you were turning the same yeah searching for her right now I do see that she was in the outside Lane were you trying to turn into the inside land and made it to turn out or you actually trying to turn into the outside Lane I was turning into the outside Lane  I don't know how she ever hit me with the front part of her  I don't know how that happened  but I have more about too much believe me okay now on your 15 Nissan Rogue what were the damages to your vehicle  I write found fender  and there's  something to the that right front door I'll have to have it readjusted or something but other than that I believe it's just offender  and you were okay Sandra you were injured or anything no I'm fine  and there was an ambulance there they stopped at the accident we were both fine  and it looks like when the police came to the scene they followed the report but nobody was giving a ticker correct because it looks like everybody was cordial and all that stuff  right yeah okay yeah no tickets  and I've got the officers  I had it here name and the number on the back of the car  we got the police reports so it's okay okay and he said about 100,000 miles on your vehicle is that correct  I think so but I can go and look right um but when it does get inspected no pre-existing damage or anything that us or by the shelf that need to be aware of perfect no okay  and then your vehicle was drivable it didn't have to be towed it's so fast to drive okay perfect and so it hurts  she didn't think she could start it or drive it but I think she was just so upset over the thing because the ambulance driver got in started it right up and pulled it off the side of the road and it was just a dent in the front of her right front fender  so I can tell you regarding this one based on the information everything we have we are going to be responsible for the other party damages but we'll take care of that for you on your behalf you have covered up to 50,000 so this is where all we'll take care of that for you regarding your vehicle you do have a 500 dollar Collision to dribble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all right let me write down that's one thing that's going to call and ask you what I know there's a guaranteed one south of town but I have no idea what it is or where it is no problem I know they texted you like our virtual app that would only be needed if you wanted to go to Auto Network shop you just have to write a quick preliminary estimate off of that was taken  and I can tell you the preferred shop that we have near you is called caliber in Columbia South Pulaski Highway  caliber seat yeah correct  okay  okay I will ask my husband and he said  that shop works just make sure you let me know because well or let me just know whoever calls like regarding the vehicle and then they can set you up with that shop if it's not then you will have to take the photos with that virtual link that we sent you and then we would provide your preliminary estimate to bring to any other shop okay  okay  what's your husband doing better now though not really sure let's give them  they had going to do a colostomy and it's been a mess  well  hopefully he plays through it and everything but all we can try to make this easy for you as possible once everything once you make a decision on the shop just let us know okay  okay I will do that all right Sandra we'll try to have a good rest of the week okay  all right thank you my pleasure bye bye see</t>
  </si>
  <si>
    <t>voxtral-mini-3b-2507</t>
  </si>
  <si>
    <t>This is Joan Arendt. I am speaking with Sandra Sol on September 20th, 2022 at 1158 a.m. Eastern Time. This statement may be used by any employee or designated representative for the investigation of any claim associated with the incident that occurred on September 13th, 2022. Now, Sandra, you understand I've started recording and I have your permission. Yes, you do. Perfect. So it looks like the police report did come in, and this happened on James Campbell Boulevard in Columbia. Is that correct? Yes, at Lyon Parkway Drive. Okay. And did this happen in the morning, evening, or what were you doing? Morning, morning. I had left my husband in intensive care, and I was running home to get something. And I missed my turn, I thought. So it was a turnaround on James Campbell Boulevard. So I went into it and sat and waited, and I swear I looked to the right. I didn't see anybody coming. And I turned right, and she hit me. So she had to have been right there. So this road is like a two-lane each way, but then there's medians where you can turn around? Correct. Okay. And I have no idea how the other insurance company got shelter insurance as my insurance because I've had the same insurance for 30 years. I am not sure either. I saw that and I was like, well, no, that's not right. They finally got a hold of me, finally. I mean, it's been a zoo for a week. So basically you were traveling on James Campbell. You missed your turn, and you went to do a legal U-turn in those areas, and you were in the median. And then when you turned out, she was traveling on that road in the opposite direction. Right. No, in the same direction. Yeah, and it looks like. That I was turning on. Yes, yes. Originally the opposite direction, but you were turning in the same direction as her. Right. Now, I do see that she was in the outside lane. Were you trying to turn into the inside lane and made a too wide of a turn? No. Or were you actually trying to turn into the outside lane? I was turning into the outside lane. I don't know how she ever hit me with the front part of her car. That right front door, I'll have to have it readjusted or something. But other than that, I believe it's just the fender. And you were okay, Sandra? You weren't injured or anything? No, I'm fine. And there was an ambulance there. They stopped at the accident. We were both fine. And it looks like when the police came to the scene, they filed the report, but nobody was given a ticket, correct? Because it looks like everybody was color go and all that stuff. Right, yeah. Okay. Yep, no ticket. And I've got the officers, I had it here a second ago, name and the number on the back of the card. Oh, we got the police report, so it's okay. Okay. And you said about 100,000 miles on your vehicle. Is that correct? I think so, but I can go out and look right now. No, you don't have to go out. No, you don't have to go out and do that. But when it does get inspected, no pre-existing damage during anything that us or a body shop need to be aware of. Perfect. No. Okay. But your vehicle was drivable. It didn't have to be towed. It's still safe to drive. Okay, perfect. And so was hers. She didn't think she could start it or drive it, but I think she was just so upset over the thing because the ambulance driver got in, started it right up, and pulled it off to the side of the road. And it was just a dent in the front of her right front fender. So I can tell you regarding this one, based on the information, everything we have, we are going to be responsible for the other party damages, but we'll take care of that for you on your behalf. You have coverage up to $50,000 since we're at fault. We'll take care of that for you. Regarding your vehicle, you do have a $500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All right, let me write And I can tell you the preferred shop that we have near you is called Caliber in Columbia. It's off Pulaski Highway. Caliber, C-A-L-I-B-E-R. Yeah, correct. Okay. Okay. I will ask my husband if he's ever heard of it. Not today. No, you're fine. I'm going to stop with this. So if that shop works, just make sure you let me know or let the adjuster know, whoever calls back regarding the vehicle, and then they can set you up with that shop. If it's not, then you will have to take the photos with that virtual link that we sent you, and then we will provide you a preliminary estimate to bring to any other shop, okay? Okay. All right. Well, is your husband doing better now, though? Not really. Well, man. Just give him time. They had to go in and do a colostomy, and that's been it. Well, hopefully he fights through it and everything. But hopefully we can try to make this as easy for you as possible. Once everything, once you make a decision on the shop, just let us know, okay? Okay, I will do that. All right, Sandra. We'll try to have a good rest of the week, okay? All right, thank you. My pleasure. Bye-bye. Bye. Bye-bye.</t>
  </si>
  <si>
    <t>BW - Accent_mono</t>
  </si>
  <si>
    <t>My name is Darla Cunha, I'm having a recorded conversation with Miss Maria Jimenez on today, October 22nd, October 10th, 2020 Second time currently is 201 PM Pacific Time conversation 700-516-8548. May I please have your first and last name for the recording?Maria Jimenez. Thank you, Miss Jimenez. And you do understand that you're recording the conversation with your permission?I'm sorry. And I do have your permission to continue the recording. Yeah, thank you very much. I just want to confirm, was anyone injured in the accident or just damages to the vehicles?Uh, nobody was injured.And when did the accident happen?Today I think around 1:00, OK.And how about the intersection where it happened?Uh, teachers in Hawthorne, OK.In the city of.Cortana.And just two vehicles involved in the accident.Yeah.And were you the driver of your vehicle on this day?Yeah.Any passengers with you or are you by yourself?Bye, bye, Sir.And your purpose of trip? Where were you heading to when the accident happened?I was going home.From where?I was returning I I wanted to go and look at some clothes to buy.So just running errands.In the year, make and model of the vehicle you were operating.I'm sorry.The year, make, and model of the vehicle you were driving.It's a 2020 Jeep Renegade.OK.And what part of the vehicle is damaged?The right side the the two doors.After your side doors.Yeah, passenger and the back. The back door doesn't open.The front door is open.OK. And did any airbags deploy?No.No worries, OK.Is the vehicle still drivable?Yeah.And the vehicle still with you at home.Yeah, OK. I have that address as 17225 Valley Blvd. in Fontana.Yeah. OK. Now the driver of the other vehicle, were they male or female?Female.OK.Did you get any of the other persons information?No, they never gave me the other person's information, just the police gave me the the claim number, OK.And were there any passengers in the other vehicle?Yeah, the boy, I think he's 17 and a girl, she's 15 But nothing happened to them.OK.So female driver, two kids.Yeah, two minors, yeah.Do you remember the year, make and model of their vehicle?One second please. I took picture. Do you get the picture?I believe they were sent to me but I still haven't gotten them yet. But do you remember? Can you describe what the vehicle looked like?It's a blue.It's a blue car one.2nd, it's OK, I can just put that down. Where were the damages to that vehicle?The passenger, the driver, let me see the driver's door.Actually not. The driver's door is the corner. Uh, the, the rear, the, the front part, the left part.OK. So the driver side front tire or back tire?Front tire.Not the door. I'm trying to take a look at the.You said the Police Department went out and took a report.Yeah.Do you remember which department went and did that?Fontana.Fontana PD Yeah.Did they give you a report number by chance?Yes, 22Dash 15362Officer J Isaac.Did you have a badge number?Uh, you said 1420OK. And you said Isaac?ISSAK.ISAATS.Isaacs, OK, 1420Yeah. Do you want me to send the picture to you? I don't know where.Yeah, what I can do is I'll send you a text message with my information and my e-mail address, and then you can just text it to that number.I have the plate number too.Perfect, I'll send you a text.Message shortly I.Don't know if she umm, I think she doesn't have any insurance and she wasn't wearing my seat belt that's umm, I have pictures yeah I'll.Confirm all that with the plate number, don't worry.You should get a text message soon with all my information. You can just text that number, the photos of the police report, and any photos of the damages to the.Car. Is that to my e-mail or?No, it's going to your telephone number. It'll be a text message shortly.OK, I'll send you the pictures.Perfect. And can you tell me exactly how the accident happened, please, with detail? So what street you were on and then what actually happened?I was. I was on future.OK. Do you?Remember in which?Lane, I was moving, uh, I think I was on the second one.Far left or far?Right.Far left lane or far right lane?There is one to the right and I was on the second one.OK, so were you in the left lane or the right lane?I was on the left, left lane, OK.So more on the inside correct of the street.OK. Were there any vehicles on your right hand side?No, I think she was behind me, but I'm not sure, you know, because I didn't hear.OK. And then how did the accident happen?Hi Jared. Found out that you know she I just felt the impact.OK, so was she behind you or was she on Hawthorne?Uh, she wasn't secret too. She.Was on citrus too and then you just.Felt the impact.OK.Did the police give you or the other person a ticket that you're aware of?No.Now that I know, no.I don't know if she has insurance. I don't know if she, because they took her to the hospital because she's pregnant. So just to make sure, because she was, uh, she was like very nervous. So they took her and the police, uh, said that she, they took her purse. You know, she took her purse with her. So I don't know if she has insurance.If she I don't know because the engineer any information, I I was asking for the information, but nobody could say anything. I even asked the police.The police told me that everything was on the on the report.And just to reconfirm, you were in the left lane traveling straight when you felt an impact and you believe she was in the right lane next to you?When she hit you. Mm-hmm. OK. Is there anything else you'd like to add to the statement you feel you've left out or you want to clarify? Can I please get your first and last name?Maria Jimenez.Thank you, Miss Jimenez, You do understand that I did record the conversation with your permission today.Yeah.Thank you very much. My name is and the time now is 0.0909722222222222 PM Pacific Time. This concludes our recorded statement.OK, Ma.</t>
  </si>
  <si>
    <t>" My name is Darla Cunya. I'm having a record a conversation with Ms. Maria Jimenez on today, October 22nd. Time currently is 201 PM Pacific Time, conversation 715, 548. May I please have your first and last name for the recording? Maria Jimenez. Thank you, Ms. Jimenez, and you do understand I am reporting in the conversation with your permission. I'm sorry. And I do have your permission to continue the recording. Yes. Thank you very much. I just want to confirm was anyone injured in the accident or just damages to the vehicles? Nobody was injured. Okay and when did the accident happen? Today I think around one o'clock. Okay and how about the intersection where it happened? And when did the accident happen? Today, I think around 1 o'clock. Okay. And how about the intersection where it happened? Uh, seafood and Hawthorne? Okay. In the city of? And just two vehicles involved in the accident? Yes.. And were you the driver of your vehicle on this day? Yeah. Any passengers with you or were you by yourself? By myself. And your purpose of trip, where were you heading to when the accident happened? I was going home. From where? I was returning. I wanted to go and look at some clothes to buy. So, I was going home. Air, yeah. Yeah. And the year-making model of the vehicle you were operating? I'm sorry? The year-making model of the vehicle you were driving? Ah, it's a 2020 Jeep renegade. Okay, and what part of the vehicle is damaged? The right side, the two doors.? Yes..?.. Yeah.. the back door doesn't open. The throne door is open. Okay. And did any airbags deploy? No. No airbags. No airbags. Okay. Is the vehicle still driveable? Yeah. Is the vehicle still with you at home? still with you at home? Yeah. Okay. I have that address as 17-225 Valley Boulevard in Fontana. Yes. Okay. Now the driver of the other vehicle were they male or female? Okay, did you get any of the other person's information? other person's information? No, they never gave me the other person's information. The police gave me the claim number. Okay. And were any passengers in the other vehicle? Yeah, the boy, I think he's 17th and a girl she's 15th, but nothing happened to them. Okay. So female driver two kids. Yeah, two minors. Do you remember the year make and model of their vehicle? One second please. I took picture. Do you get the picture? I believe they were sent to me but I still haven't gotten them yet. But do you remember, can you describe what the vehicle looked like? It's a blue car. One second. It's okay. I can just put that down. Where were the damages to that vehicle? The pattern, the driver's door. The driver's door. The driver's door. The driver's door......... the front part the left part. Okay, so the driver side front tire or back tire? Front tire. Not the door, I'm trying to take a look at the... And you said the police department went out and took a report? Yeah. Do you remember which department went out, And you said the police department went out and took a report? Yeah. Do you remember which department went and did that? Fontana? Fontana PD? Yes. Did they give you a report number by chance? Yes. 22. Yes.. Yes.... 2. Okay. Officer J. I. Sacks. Does you have a badge number? Uh, you said 14, 20? Okay. And you said ISAC, I S. S.A.A.A.S.A.A.S.A.A.A.A.S.A.A. I'm going to I, okay, 1420? Yeah, do you want to send the picture to you? I don't know where. Yeah, what I can do is I'll send you a text message with my information and my email address, and then you can just text it to that number. I have the plate number too. Perfect. I'll send you a text message shortly. I don't know if she, I don't know if she, I think she doesn't have an insurance and she wasn't wearing a seat built. That's I have pictures. Yeah I'll confirm all that with the plate number don't worry. You should get a text message soon with all my information you can just text that number of the photos of the police report and any photos of the damages to the car. Perfect, can you tell me exactly how the accident happened, please, with detail? So what street you were on and then what actually happened? I was, I was on future. Okay. Do you remember in which lane? I was moving. I think I was on the second one. Far left or right?. Far left lane or far right?. There is one to the right and I was on the second one. Okay, so were you in the left lane or the right lane? I was on the left. Left lane. Okay, so more on the inside, correct, of the street? Okay, were there any vehicles on your right hand side? but I'm not sure you know because I didn't hear okay and then how did the accident happen I just found out that you know she I just felt the impact okay so was she behind you or was she on on Hawthorne? She was on Citrus too and then you just felt the impact? Mm-hmm. Okay. Do the police give you or the other person a ticket that you're aware of? No. Now that I know, no. Um, I don't know if she hasn't sure. I don't know if she hasn't sure. I don't know if she because they took her to the hospital because she's pregnant so just to make sure because she was she was like very nervous so they took her and the police said that she took her purse, you know she took her purse with her. So I don't know if she hasn't sure if she, I don't know, because the DNA, any information. I was asking for the information, but nobody could say anything. I even asked the police. So the police told me that everything was on the report. could say anything. I even ask the police. So the police told me that everything was on the report. Okay. And just to reconfirm you were in the left lane, you were in the left lane traveling straight when you felt an impact and you believe she was in the right lane next to you when she hit you. and last name. Mariah Hignone. Thank you, Miss Jimenez. You do understand that I did record the conversation with your permission today? Yeah. Thank you very much. My name is Darva Cunya and the time now is 2.11 PM Pacific time. This concludes our recorded statement."</t>
  </si>
  <si>
    <t>My name is Darla Acuna. I'm having a recorded conversation with Ms. Maria Jimenez on today, October 10, 2022. Time currently is 2.01 p.m. Pacific Time, conversation 700-516-8548. May I please have your first and last name for the recording? Maria Jimenez. Thank you, Ms. Jimenez. And you do understand I am recording the conversation with your permission? I'm sorry? And I do have your permission to continue the recording? Yes. Thank you very much. I just want to confirm, was anyone injured in the accident or just damages to the vehicles? Nobody was injured. Okay. And when did the accident happen? Today, I think around 1 o'clock. Okay. And how about the intersection where it happened? in the city of and just two vehicles involved in the accident yes and were you the driver of your vehicle on this day yeah any passengers with you or read by yourself by myself and your purpose of trip where were you heading to when the accident happened I was going home somewhere I wanted to go and look at some clothes to buy I was just running errands and the year make a model of the vehicle you were operating I'm sorry the year make and model of the vehicle you were driving I it's a 2020 Jeep Renegade okay and what part of the vehicle is damaged the right side there there's two doors yeah I think there and the back the back door doesn't open the front door is open okay and did any airbags deploy no no airbags is the vehicle still drivable yeah and the vehicle still with you at home okay I have that address as 17 to 25 Valley Boulevard in Fontana yeah okay now the driver of the other vehicle were they male or female female did you get any of the other person's information no they never gave me the other person's information just the police gave me the claim number. Okay. And any passengers in the other vehicle? Yeah. The boy, I think he's 17, and a girl, she's 15. But nothing happened to them. Okay. So female driver, two kids? Yeah, two minors, yeah. Do you remember the year, make, and model of their vehicle? One second, please. I took pictures. Do you get the pictures? I believe they were sent to me, but I still haven't gotten them yet. But do you remember, can you describe what the vehicle looked like? It's a blue car. One second. It's okay. I can just put that down. Where were the damages to that vehicle? The passenger, the driver, let me see, the driver's door. Actually, not the driver's door. It's the corner, the rear, the front part, the left part. Okay, so the driver's side front tire or back tire? Front tire. Not the door. I'm trying to take a look at the... And you said the police department went out and took a report? Yeah. Do you remember which department went and did that? Fontana? Fontana PD? Yes. Did they give you a report number by chance? Yes. 22-15362. Okay. Officer J. Isaac. Did he have a badge number? he said 1420 okay and you said ISAC ISAC ISAC ISAC ISAC okay 1420 yeah do you want me to send a picture to you I don't know where yeah what I can do is I'll send you a text message with my information and my email address, and then you can just text it to that number. I have the plate number, too. Perfect. I'll send you a text message shortly. I don't know if she... I think she doesn't have an insurance, and she wasn't wearing a seatbelt. I have pictures. Yeah, I'll confirm all of that with the plate number. Don't worry. You should get a text message soon with all my information. You can just text that number of the photos. of the police report and any photos of the damages to the car. Is that to my email? No, it's going to your telephone number. It'll be a text message shortly. Okay, I'll send you the picture. Perfect. And can you tell me exactly how the accident happened, please, with detail? So what street you were on and then what actually happened. I was on pictures. Okay. Do you remember in which lane? I was moving. I think I was on the second one. Far left or far right? Huh? Far left lane or far right lane? Far left. There is one to the right, and I was on the second one. Okay, so were you in the left lane or the right lane? I was on the left. Left lane. Okay, so more on the inside, correct, of the street? Mm-hmm. Okay. Were there any vehicles on your right-hand side? No. I think she was behind me, but I'm not sure, you know, because I didn't see her. Okay. And then how did the accident happen? I just found out that, you know, she, I just felt the impact. Okay, so was she behind you or was she on Hawthorne? She was on Citrus 2. She was on Citrus 2 and then you just felt the impact? Mm-hmm. Okay. Did the police give you or the other person a ticket that you're aware of? No. Now that I know, no. I don't know if she has insurance. I don't know if she, because they took her to the hospital because she's pregnant. So just to make sure, because she was, she was, like, very nervous, so they took her. And the police said that they took her purse. You know, she took her purse with her. So I don't know if she has insurance, if she, I don't know. because they didn't give me any information. I was asking for the information, but nobody could say anything. I even asked the police. So the police told me that everything was on the report. Okay. And just to reconfirm, you were in the left lane traveling straight when you felt an impact, and you believe she was in the right lane next to you when she hit you. Mm-hmm. Okay, is there anything else you'd like to add to the statement you feel you've left out or you want to clarify? Can I please get your first and last name? Maria Jimenez. Thank you, Ms. Jimenez. You do understand that I did record the conversation with your permission today? Yes. Thank you very much. My name is Darwa Cunha and the time now is 2.11 p.m. Pacific time. This concludes our recorded statement. Okay.</t>
  </si>
  <si>
    <t>my name is arbacunya i'm having a record a conversation with miss maria jimenez on today october twenty sec um october tenth twenty twenty second time currently is two oh one p m pacific time conversation seven hundred five one six eight five four eight may i please have your first and last name for the recording maria jimenez thank you miss jimenez and you do understand that you're recording the conversation with your permission i'm sorry and i do have your permission to continue the recording yeah thank you very much uh just want to confirm was anyone injured in the accident or just damages to the vehicles uh nobody was injured okay and when did the accident happen today i think around one o'clock okay and how about the intersection where it happened uh citrus and hawthorne okay in the city of montana okay and just two vehicles involved in the accident yeah and were you the driver of your vehicle on this day yeah any passengers with you or were you by yourself by myself and your purpose of trip where were you heading to when the accident happened i was going home from where um i was returning i i wanted to uh go and look at some clothes to buy just running errands yeah yeah and the year making model of the vehicle you were operating i'm sorry the year making model of the vehicle you were driving uh it's a twenty twenty jeep renegade okay and what part of the vehicle was damaged the right side the two doors yeah passenger and the back the back door doesn't open the front door is open okay and did any airbags deploy no no airbags okay is the vehicle still drivable yeah and the vehicle still with you at home yeah okay i have that address uh seventeen two two five valley boulevard in fontania yes okay now the driver of the other vehicle were they male or female uh female okay did you get any of the other person's information no they never gave me the other person's information just the police gave me the uh the claim uh number okay and was any passengers in the other vehicle uh yeah uh boy i think he's seventeen and a girl she's fifteen but nothing happened to them okay so female driver two kids yeah two uh minors yeah do you remember the year make and model of their vehicle uh one second please i took picture do you get the picture um i believe they were sent to me but i still haven't gotten them yet but do you remember can you describe what the vehicle looked like it's a blue um it's a blue car one second blue sedan it's okay i can just put that down where were the damages to that vehicle uh the passen um the driver um let me see the driver's um door uh actually not the driver's door the corner uh the the rear um the front part the left part okay so the driver's side front tire or back tire uh front tire not the door i'm trying to take a look at the you said the police department went out and took a report yeah do you remember which department went and did that uh fontana fontana pd yes did they give you a report number by chance yes twenty two dash fifteen three six two okay officer j isa does she have a badge number uh you said fourteen twenty okay and you said isaac iss a k i s a t s isaac okay fourteen twenty uh yeah do you want to send the picture to you i don't know where yeah what i can do is i'll send you a text message with my information and my email address and then you can just text it to that number i have the plate number two perfect i'll send you a text message shortly i don't know if she um i think she doesn't have an insurance and she wasn't wearing a seatbelt that's um i have picture yeah i'll confirm all that with the plate number don't worry you should get a text message soon with all my information you can just text that number the photos of the police report and any photos of the damages to the car is that to my email or no it's going to your telephone number it'll be a text message shortly okay i'll send you the picture perfect and can you tell me exactly how the accident happened please with detail so what street you were on and then what actually happened i was i was on citrus okay do you remember in which lane i was moving uh i think i was on the second one far left or far right huh far left lane or far right lane uh far uh there is one to the right and i was on the second one okay so were you in the left lane or the right lane i was on the left left lane okay so more on the inside correct of the street mmhmm okay were there any vehicles on your right hand side uh no i think she was behind me but i'm not sure you know because i didn't hear her okay and then how did the accident happen i just found out that uh you know she i just felt the impact okay so was she behind you or was she on hawthorne uh she was in citrus too she was on citrus too and then you just felt the impact mm hmm okay did the police give you or the other person a ticket that you're aware of no not that i know no um i don't know if she has insurance i don't know if she uh because they took her to the hospital because she's pregnant so just to make sense because she was uh she was like very nervous so they took her and the police uh said that she they took her purse you know she took her purse with her so i don't know if she has insurance i don't know because they didn't give me any information i was i was asking for the information but nobody could say anything i didn't ask the police so the police told me uh that everything was on the on the report okay and just to reconfirm you were in the left lane traveling straight when you felt an impact and you believe she was in the right lane next to you when she hit you mmhmm okay is there anything else you'd like to add to the statement you feel you've left out or you want to clarify can i please get your first and last name maria jimenez thank you miss jimenez you do understand that i did record the conversation with your permission today yeah thank you very much my name is darwacunya and the time now is two eleven p m pacific time this concludes our recorded statement okay</t>
  </si>
  <si>
    <t>My name is Darwa Kunya. I'm having a recorded conversation with Miss Mariah Jimenez on today, october twenty second. Time currently is two hundred one PM, Pacific time. Okay. And you said, Is there any passenger of the vehicle? I was on the right side? Okay. And your passenger of the vehicle? I was on the right side of the vehicle? Okay. I think they were in the right side of the vehicle. Okay. And your passenger of the vehicle? I think they were in the right side of the vehicle. Okay. I think they were in the right side of the vehicle. Okay. I think they were in the right side of the vehicle. I think they were in the right side of the vehicle. I think they were in the right side of the vehicle. I think the right side of the vehicle. I think the right side of the vehicle. I think the vehicle was in the right side of the vehicle. I think the vehicle was in the right side of the vehicle. I think the right side of the vehicle. I think the vehicle was in the right side of the vehicle. I think the right side of the vehicle. I think the right side of the vehicle. I think the right side of the vehicle was in the right side of the vehicle. Okay. I think the right side of the vehicle was in the right side of the vehicle. I thought side of the vehicle. Okay. Okay. I think the right</t>
  </si>
  <si>
    <t>Partial transcript</t>
  </si>
  <si>
    <t xml:space="preserve">My name is dark. I'm having a record, a conversation with Ms. Maria Jimenez on today. October 10, 2022. Time currently is 02:01 p.m., Pacific time conversation 700 516 8548. May I please have your 1st and last name for the recording? Thank you, Miss Jimenez. and you do understand that. The And I do have your permission to continue the recording. Yes. Thank you very much. Just want to confirm was anyone injured in the accident or just damages to the vehicles? Nobody was injured. Okay, and when did the accident happen? Today I think around 01:00. And how about the intersection where it happened? And ha. In the city of Fontana And just two vehicles involved in the accident. Yes. And were you the driver of your vehicle on this day? Yeah. Any passengers with you or are you by yourself? By myself. And your purpose of trip, where were you heading to when the accident happened? I was going home. From where I was returning. I wanted to. Go and look at some clothes to buy. Just running And the, you make a model of the vehicle you were operating. I'm sorry, the year, make and model of the vehicle you were driving. It's a 2020 Renegade. Okay? And what part of the vehicle was damaged? The right side The two doors The doors Yeah, housing here and. The back The back door doesn't open. The front door is open. Okay. And did any airbags deploy? No. No airbags. Is the vehicle still drivable? Yeah. And the vehicle is still with you at home. I have that address as 17225 Valley Boulevard in Fontana. Yes, okay. Now the driver of the other vehicle, were they male or female? Female Did you get any of the other person's information? No, they never gave me the other person's information. Just the police gave me The claim Number Okay, and any passengers in the other vehicle? Yes, the Boy, I think he's 17 and a girl, she's 15, but nothing happened to them. Okay. So female driver, two kids. Yeah, two minors. Do you remember the year, make and model of their vehicle? 1 s please. I took pictures. Do you get the pictures? I believe they were sent to me, but I still haven't gotten them yet. But do you remember, can you describe what the vehicle looked like? It's a blue It's a blue car, 1 s blue sedan. It's okay. I can just put that down. Where were the damages to that vehicle? The drivers Let me see. The driver Door Actually not the driver's door in the corner. The rear The front part, the left part. Okay, so the driver's side front tire or back tire. Front tire Knock the door. I'm trying to take a look at the. You said the police department went out and took a report. Yes, do you remember which department went and did that? Fontana. Fontana, P. D. Yes. Did they give you a report number by chance? Yes. Two 15. 362. Officer J. Isaac. Does he have a batch number? 1420. Okay, and you said, Isaac, I S S A K. I F A A T S Isaacs, Okay, 1420. Yeah, do you want me to send the picture to you? I don't know where. Yeah, what I can do is I'll send you a text message with my information and my email address and then you can just text it to that number. I have the plate number too. Perfect. I'll send you a text message. I don't know if she. I think she doesn't have an insurance and she wasn't wearing a seatbelt. I have Yeah, I'll Confirm all of that with the plate number. Don't worry. You should get a text message soon with all my information. You can just text that number, the photos of the police report, and any photos of the damages to the car. Is that through my email? No, it's going to your telephone number. It'll be a text message shortly. I'll send you the picture. Perfect. And can you tell me exactly how the accident happened, please, with detail? so what street you were on and then what actually happened? I was on future Okay, do you remember in which Lane was moving? I think I was on the 2nd one. Far left or far right. Far left lane or far right lane. There is one to the right and I was on the 2nd one. So were you in the left lane or the right lane? I was on the left. Left lane. Okay, so more on the inside, correct, of the street. Okay, were there any vehicles on your right hand side? No. I think she was. Behind me, but I'm not sure, you know, because I didn't hear it. Okay, and then how did the accident happen? I just found out that, you know, she. I just felt the impact. Okay, so was she behind you or was she on Hawthorne? She was on citrus too. She was on citrus too and then you just felt the impact. The police give you or the other person a ticket that you're aware of. Not that I know. No. I don't know if she hasn't insurance. I don't know if she. Because they took her to the hospital because she's pregnant. So just to make sure because she was. She was like very nervous so they took her and the police said that. They took her purse. You know, she took her purse with her, so I don't know if she has insurance. If she I don't know because they didn't give me any information. I was asking for the information, but nobody could say anything. I even asked the police. So the police told me. That everything was On the report And just to reconfirm, you were in the left lane traveling straight when you felt an impact and you believe she was in the right lane next to you when she hit you. Okay, is there anything else you'd like to add to the statement you feel you've left out or you want to clarify? Can I please get your 1st and last name? Maria Jimenez. Thank you, Miss Jimenez. You do understand that I did record the conversation with your permission today. Yeah. Thank you very much. My name is dark and the time now is 02:11 p.m., Pacific time. This concludes our recorded statement. </t>
  </si>
  <si>
    <t>"My name is Darwacunia. I'm having a record, a conversation with Miss Maria Jimenez on today, October 22. October 10, 2022. Time currently is 02:01 P.m., Pacific time, conversation 700. 5168548. May I please have your 1st and last name for the recording? Thank you Miss Jimenez and you do understand I am recording the conversation with your permission. Do have your permission to continue the recording. Thank you very much. Just want to confirm was anyone injured? accident or just damages to the vehicles. Nobody was injured. where it happened in the city of and just two vehicles involved in the accident. Yes. And were you the driver of your vehicle on this day? passengers with you or were you by yourself, by myself and your purpose of trip, where were you heading to when the accident? I was going home somewhere. I was returning. I, I. just running errands. vehicle you were driving. The vehicle is damaged. the right side the the two doors. Yeah, passenger and the back, the back door doesn't open. Is the vehicle still drivable? and the vehicle still with you at home. I have that address. 17 225 Valley Boulevard in Fontana. Yes. Okay. Now the driver of the other vehicle where they. Did you get any of the other person's information? No, they never gave me the other person's information. Just the police gave me the. the claim number. Okay. And was any passengers in the other vehicle? Ah yeah, the a boy, I think he's 17 and a girl, she's 15 but. Nothing happened to them. So female driver, two kids. Do you remember the year making model of their vehicle? I took pictures. Do you get the pictures? Um, I believe they were sent to me, but I still haven't gotten them yet, but. Do you remember, can you describe what the vehicle looked like? It's a blue car, 1 s blue sedan. It's okay. I can just put that down. Where were the damages to that vehicle? Passeng, um, the driver, um, let me see the driver's, um, door. um actually not the driver's door is the corner uh, the the real So the driver's side front tire or back tire. not the door I'm trying to tilde. You said the police department went out and took a report. Yes, do you remember which department went and did that? Fontana, Fontana Pd yesterday. Yes, 22 Dash 15. 362 Officer J. Isaacs. Does he have a batch number? Okay, and you said Isaac Issak. Isaacs, Okay, 1420. Yeah, what I can do is I'll send you a text message with my information. I have the plate number too. Perfect. I'll send you a text message. I don't know if she, I think she doesn't have an insurance and she wasn't. Yeah, I'll confirm all that with the plate number. Don't worry. You should get a text message soon with all my information. You can just text that number of the photos of the police report and any photos of the damages. No, it's going to your telephone number. It will be a text message shortly. Perfect. And can you tell me exactly how the accident happened, please, with detail? So what street you were on? I was, I was on future. Do you remember in which lane, far left or far right? far left lane or far right lane Farde. There is one to the right and I was on the 2nd one. Okay, so we're. left lane or the right lane? I was on the left. left lane. Okay, so more on the inside, correct? tilde of the street. Were there any vehicles on your right hand side? No, I think she was behind me, but I'm not sure, you know, because I didn't hear. So was she behind you or was she on Hawthorne? She was in Citrus Two. She was on Citrus Two, and then you just felt the impact. the police give you or the other person a tilde. ticket that you're aware of. No, not that I know. No. Um, I don't know if she has insurance. I don't know if she. Ah, because they took her to the hospit. because she's pregnant. So just to make sure because she was, ah, she was like very nervous so they took. And the police said that she, they took her purse, you know, she took her purse with her. So I don't know if she has insurance. if she, I don't know because they didn't give me any. I, I was asking for the information, but nobody could say anything. I even asked the police. So the the police told me, ah, that everything was on the on the report Okay, and just to reconfirm, you were in the left lane traveling straight when you felt an impact and you believe she was. in the right lane next to you when she hit you. Okay. Is there anything else you'd like to add to the statement you feel you've left out or? Clarify, Can I please get your 1st and last name, Maria Jimenez? Thank you, Miss Jimenez. You do understand that I did. The conversation with your permission today. Yes, thank you very much. My name is Dadwagunia and the time now is 02:11 p.m.. time. This concludes our recorded statement. Okay. "</t>
  </si>
  <si>
    <t>My name is Darba Acuna. I'm having a recorded conversation with Ms. Maria Jimenez on today, October 10th, 2022nd. Time currently is 2.01 P.m. Pacific Time. Conversation 700-516-8548. May I please have your first and last name for the recording? Maria Jimenez. Thank you, Ms. Jimenez. And you do understand I am recording the conversation with your permission. I'm sorry. And I do have your permission to continue the recording. Yes. Thank you very much. I just want to confirm, was anyone injured in the accident or just damages to the vehicles? Nobody was injured. Okay, and when did the accident happen? Today, I think around one o'clock. Okay, and how about the intersection where it happened? And Hawthorne. Okay. In the city of. Fontana. Okay. And just two vehicles involved in the accident. Yes. And were you the driver of your vehicle on this day? Yes. Any passengers with you or were you by yourself? By myself. And your purpose of trip? Where were you heading to when the accident happened? I was going home. From where? I was returning. I wanted to go and look at some clothes to buy. So just running errands? Yeah. And the year, make, and model of the vehicle you were operating. I'm sorry. The year, make, and model of the vehicle you were driving. It's a 2020 Jeep Renegade. Okay, and what part of the vehicle is damaged? The right side, the two doors. The other side doors. Yeah, I think here and the back. The back door doesn't open. The front door is open. Okay. And did any airbags deploy? No. No airbags. Okay. Is the vehicle still drivable? Yes. And the vehicle still with you at home? Yes. Okay. I have that address as 17225 Valley Boulevard in Fontana. Yes. Okay. Now the driver of the other vehicle, were they male or female? Female. Okay. Did you get any of the other person's information? No, they never gave me the other person's information. Just the police gave me the claim number. Okay. And were any passengers in the other vehicle? Yeah, the boy, I think he's 17, and a girl, she's 15. But nothing happened to them. Okay. So female driver, two kids. Yeah, two minors, yeah. Do you remember the year, make, and model of their vehicle? One second, please. I took pictures. Do you get the pictures? I believe they were sent to me, but I still haven't gotten them yet. But do you remember or can you describe what the vehicle looked like? It's a blue. It's a blue car. One second. Blue sedan. It's okay. I can just put that down. Where were the damages to that vehicle? The passenger. The driver's, let me see, the driver's door. Actually, not the driver's door, in the corner, the rear, the front part, the left part. Okay, so the driver's side front tire or back tire? Front tire. Not the door. I'm trying to take a look at the... And you said the police department went out and took a report? Yeah. Do you remember which department went and did that? Fontana. Fontana PD. Yes. Did they give you a report number by chance? Yes, 22-15-362. Officer J. Isaac. Does he have a badge number? It says 1420. Okay. And you said Isaac, I-S-S-A-K? I-S-A-A-C-S. Isaacs. Okay. 1420. Yeah. Do you want me to send the picture to you? I don't know where. Yeah. What I can do is I'll send you a text message with my information and my e-mail address, and then you can just text it to that number. I have the plate number too. Perfect. I'll send you a text message shortly. I don't know if she, I think she doesn't have any insurance and she wasn't wearing a seat belt. That's, I have pictures. Yeah, I'll confirm all of that with the plate number. Don't worry. You should get a text message soon with all my information. You can just text that number, the photos of the police report and any photos of the damages to the car. Is that to my e-mail or? No, it's going to your telephone number. It'll be a text message shortly. Okay, I'll send you the picture. Perfect. And can you tell me exactly how the accident happened, please, with detail? So what street you were on and then what actually happened? I was on. Okay. Do you remember in which lane? I was moving. I think I was on the second one. Far left or far right? Far left lane or far right lane? There is one to the right and I was on the second one. Okay, so were you in the left lane or the right lane? I was on the left. Left lane, okay. So more on the inside, correct, of the street? Okay. Were there any vehicles on your right-hand side? No. I think she was behind me, but I'm not sure, you know, because I didn't hear her. Okay. And then how did the accident happen? I just found out that, you know, she... I just felt an impact. Okay. So was she behind you or was she on Hawthorne? She was on Citrus 2. She was on Citrus 2 and then you just felt the impact? Mhm. Okay. Did the police give you or the other person a ticket that you're aware of? No. Not that I know, no. I don't know if she has insurance. I don't know if she... Because they took her to the hospital because she's pregnant. So just to make sure, because she was like very nervous. So they took her. And the police said that they took her purse. You know, she took her purse with her. So I don't know if she has insurance. if she, I don't know, because they didn't give me any information. I was asking for the information, but nobody could say anything. I even asked the police. So the police told me that everything was on the report. Okay. And just to reconfirm, you were in the left lane traveling straight when you felt an impact and you believe she was in the right lane next to you when she hit you. Mm-hmm. Okay. Is there anything else you'd like to add to the statement you feel you've left out or you want to clarify? Can I please get your first and last name? Maria Jimenez. Thank you, Ms. Jimenez. You do understand that I did record the conversation with your permission today? Yes. Thank you very much. My name is Darda Cunha, and the time now is 2:11 P.m. Pacific Time. This concludes our recorded statement. Okay.</t>
  </si>
  <si>
    <t>hi my name is Darla CUNY I'm having a recorder conversation with Miss Maria Jimenez on today October 22nd October 10th 2020 second  time currently is 201 PM Pacific Time conversation 700 516 8548 may I please have your first and last name for the recording  Maria Jimenez thank you missy Menace and you do understanding the conversation with your permission  and I do have your permission to continue the recording  thank you very much just want to confirm was anyone injured in the accident or just damages to the vehicle  okay and when did the accident happen  today I think around 1:00  okay and how about the intersection where it happened  okay  in the city of  and just two vehicles involved in the accident yeah  and were you the driver of your vehicle on this day  yeah  any passengers with you or were you by yourself  by myself  and your purpose of trip where were you heading to in the accident happened I was going home  from where  I was returning I I wanted to go and look at some clothes to buy just running errands  in the year making model of the vehicle you were operating  okay  the year making model of the vehicle you were driving  and what part of the vehicle is damaged  the right side the the two doors  and did any airbags deploy know  know everybody  it's the vehicle still drivable  yeah  and the vehicle still with you at home  yeah okay I have that address as 17225 Valley Boulevard in Fontana  yes okay now the driver of the other vehicle where they male or female  did you get any of the other person's information  know they never  okay  and what any passengers in the other vehicle  oh yeah but nothing happens to them  so female driver two kids  do you remember the year making model of their vehicle a one second please I took picture do you get the picture  I believe they were sent to me but I still haven't gotten them yet but do you remember can you describe what the vehicle looked like  it's a blue  it's a blue car one second it's okay I can just put that down where were the damages to that vehicle  the passenger the driver door  actually  that is the corner  of the rear the front part the left part  okay so the driver's side front Tyre back tire  sometimes  the police department went out and took a report yeah do you remember which department went and did that  Fontana PD  yeah  did they give you a report number by chance  yes 22  Dash  362  officer J I said  does we have a batch number  okay 1420  yeah what I can do is I'll send you a text message with my information and my email address and then you can just text it to that number  I have to play number two perfect I'll send you a text message I don't know if he  I think she doesn't have any insurance and she wasn't wearing  a that's I have  pictures confirm all of that with the plate number don't worry  and you should get a text message soon with all my information you can just text that number of the photos of the police report in any photos of the damage to the car  is that to my email or  no it's going to you'll be a text message shortly okay I'll send you the pictures  perfect and can you tell me exactly how the accident happened please with detail so what street you were on and then what actually happened  remember in which  far left or far right  far left lane or far right lane  there is one to the right and I was on the second one okay so were you in the left lane or the right lane  I was on the left  left okay so more on the inside correct of the street  okay were there any vehicles on your right hand side  no  behind me but I'm not sure you  know because I didn't hear  okay and then how did the accident happen  I just found out that you know she  I just  behind you or was she on Hawthorne  she wasn't secret to  she was on Citrus too and then you just felt the impact  okay  the police give you or the other person a ticket that you're aware of  no  nothing  I don't know she hasn't shared I don't know if she because they do go to the hospital so just to make sure because she was  she was like very nervous so they took her and the police said that she took her purse  you know she took her purse with her so I don't know if she has insurance  if she I don't know because they didn't hear any information I was I was asking for the information but nobody  could say anything I even asked to believe  so the police told me that everything was on the on the report  okay and just to reconfirm you were in the left lane traveling straight when you felt an impact and you believe she was in the right lane next to you when she hit you  okay is there anything else you'd like to add to the statement you feel you've left out or you want to clarify can I please get your first and last name  thank you Mrs do you understand that I did record the conversation with your permission today  yeah  thank you very much my name is Bob Buckley and the time now I was 211 p.m. Pacific time this concludes our recorded statement okay</t>
  </si>
  <si>
    <t>My name is Darla Cunha. I'm having a recorded conversation with Ms. Maria Jimenez on today, October 10th, 2022. Time currently is 2:01 p.m. Pacific Time. Conversation 700-516-8548. May I please have your first and last name for the recording? Maria Jimenez. Thank you, Ms. Jimenez. And you do understand I am recording the conversation with your information? I'm sorry? And I do have your permission to continue the recording? Yes. Thank you very much. I just want to confirm, was anyone injured in the accident or just damages to the vehicles? Nobody was injured. Okay. And when did the accident happen? Today, I think around 1 o'clock. Okay. And how about the intersection where it happened? Chisos and Hawthorne. Okay. In the city of? Fontana. Okay. And just two vehicles involved in the accident? Yeah. And were you the driver of your vehicle on this day? Yeah. Any passengers with you or were you by yourself? By myself. And your purpose of trip, where were you heading to when the accident happened? I was going home. From where? I was returning. I wanted to go and look at some clothes to buy. So just running errands? Yeah. And the year, make, and model of the vehicle you were operating? I'm sorry? The year, make, and model of the vehicle you were driving? It's a 2020 Jeep Renegade. Okay. And what part of the vehicle is damaged? The right side. The two doors. Passenger or side doors? Yeah. Passenger and the back. The back door doesn't open. The front door is open. Okay. And did any airbags deploy? No. No airbags. Okay. Is the vehicle still drivable? Yeah. And the vehicle still with you at home? Yes. Okay. I have that address as 17225 Valley Boulevard in Fontana? Yes. Okay. Now the driver of the other vehicle, were they male or female? Female. Okay. Did you get any of the other person's information? No, they never gave me the other person's information. Just the police gave me the claim number. Okay. And were any passengers in the other vehicle? Yes. The boy, I and a girl, she's 15. But nothing happened to them. Okay. So female driver, two kids. Yeah, two minors, yeah. Do you remember the year, make, and model of their vehicle? One second, please. I took pictures. Do you get the picture? I believe they were sent to me, but I still haven't gotten them yet. But do you remember, can you describe what the vehicle looked like? It's a blue... It's a blue car. One second. Blue sedan? It's okay. I can just put that down. Where were the damages to that vehicle? The passenger, the driver, let me see. The driver's door. Actually, not the driver's door. It's the corner, the rear, the front part, the left part. Okay, so the driver's side front tire or back tire? Front tire. Not the door. I'm trying to take a look at the... You said the police department went out and took a report? Yeah. Do you remember which department went and did that? Fontana. Fontana PD? Yes. Did they give you a report number by chance? Yes. 22-15-362. Okay. Officer J. Isaac. Does he have a badge number? He said 1420. Okay. And you said Isaac, I-S-S-A-K? I-S-A-A-T. Isaac. Okay. 1420? Yeah. Do you want me to send the picture to you? I don't know where. Yeah. What I can do is I'll send you a text message with my information and my email address, and then you can just text it to that number. I have the plate number too. Perfect. I'll send you a text message shortly. I don't know if she, I think she doesn't have an insurance and she wasn't wearing a seatbelt. I have pictures. Yeah, I'll confirm all of that with the plate number. Don't worry. You should get a text message soon with all my information. You can just text that number, the photos of the police report, and any photos of the damages to the car. Is that to my email or? No, it's going to your telephone number. It'll be a text message shortly. Okay, I'll send you the picture. Perfect. And can you tell me exactly how the accident Do you remember in which lane? I was moving. I think I was on the second one. Far left or far right? Huh? Far left lane or far right lane? There is one to the right, and I was on the second one. Okay, so were you in the left lane or the right lane? I was on the left. Left lane, okay. So more on the inside, correct, of the street? Mm-hmm. Okay. Were there any vehicles on your right-hand side? No. I think she was behind me, but I'm not sure, you know, because I didn't see her. Okay. And then how did the accident happen? I just found out that, you know, she, I just felt the impact. Okay. So was she behind you or was she on Hawthorne? She was on Citrus too. She was on Citrus too and then you just felt the impact? Mm-hmm. Okay. Does the police give you or the other person a ticket that you're aware of? No. Now that I know, no. I don't know if she has insurance. I don't know if she, because they took her to the hospital because she's pregnant. So just to make sure, because she was, she was like very nervous. So they took her. And the police said that they took her purse. You know, she took her purse with her. So I don't know if she has insurance, if she, I don't know. Because they didn't give me any information. I was asking for the information, but nobody could say anything. I even asked the police. So the police told me that everything was on the report. Okay. And just to reconfirm, you were in the left lane traveling straight when you felt an impact, and you believe she was in the right lane next to you when she hit you. Mm-hmm. Okay. Is there anything else you'd like to add to the statement? You feel you've left out or you want to clarify? Can I please get your first and last name? Maria Jimenez. Thank you, Ms. Jimenez. Do you do understand that I did record the conversation with your permission today? Yes. Thank you very much. My name is Darwa Aguña, and the time now is 2:11 p.m. Pacific time. This concludes our recorded statement. Okay</t>
  </si>
  <si>
    <t>BW - Interpreter_mono</t>
  </si>
  <si>
    <t>04:15:00</t>
  </si>
  <si>
    <t>This is adjusted. Jake certainly recorded statement with Sebastian who speaks Spanish and Betty is translating for him. Betty, are you aware I'm recording this conversation? Yes, I am. Do I have your permission to do so? Yes, you do. Alright. And Sebastian, are you aware I'm recording this conversation?Yes, I was getting a bundle kitchen, yes.Alright, do I have your permission to do so?Can you still tell me so?Yes. All right. So with the accident that happened, Sebastian, give me some details surrounding it, where you were, what happened, how the impact occurred, everything you remember from it.OK, Savage.A little super Lambda come on for me.Tacoma Flight.He said. He said he was coming.Up on Hancock Express to turn on the Joey.Umm, he says that he knew the light was green, but he said that he's not sure if the lady passed or if she passed away.Sorry, you're fine. So just to clarify, he's he knows the light was green, but he's not sure who ran the red light? Is that what I understand correctly? That's what he just said. OK, got it. So where did the impact occur in the intersection?I'm sorry, what was?That where did the impact occur? In the intersection? Where? Where in the intersection did the two cars hit?And in the middle, on the middle bed, I don't know.Yeah, I think he said it was the middle of the street because his car was facing the opposite way from the way he was going. It did a 360 almost.Got it. Was he injured at all in the accident?He said pain in the body, that's it.OK. And did the police come onto the scene?And what Police Department was it? Colorado Springs Police Department.All right. And did they issue any citations to anybody?Uh, yes they did. I don't know if she got anything, but she did.OK. And what were his citations for?Vehicle umm left turn umm careless driving cause of bodily injury License or driving license required Stroke without a valid driver's license.Driving under the influence Driving under the influence. Blood alcohol contains .8.All right, so did he receive a DUI and take him to jail with that or was?He released no he they took him to the hospital and draw blood and I don't think it was over the limit.OK, got it. So he was never arrested? No. OK, thank you for that. And then we've already got his car and damages taken care of, so we don't need to cover where those are at.Is there anything of the statement that we've gone over that?You guys have questions on you want clarification on you want to clarify an answer of a certain way or anything?Else.No, they have no other questions.All right, well, I'm going to stop the recorded statement then.</t>
  </si>
  <si>
    <t> " This is a gesture Jake starting the recorded statement with Sebastian who speaks Spanish and Betty is translating for him Betty are you aware I'm recording this conversation Betty are you I'm recording this conversation. Yes I am. Do I have your permission to do so? Yes you do. All right and Sebastian are you aware I'm recording this conversation. Yes, you do. All right. And so, I have your permission to do so. me so yes all right so with the accident that happened so boston give me some details surrounding it where you were what happened how the impact occurred everything you remember from it okay tine kes a on the road de Chocases, and I have that you have to be your power, how much was? Yes, how much? He said he was coming up on Hancock Express, to turn on the yelling. He said he was coming up on Hancock Express, to turn on the yelling. He said he was coming up on Hancock Express to turn on the showing he said he knew the light was green but he says that he's not sure if the lady passed or if he passed the light he said he's not sure if the lady passed or if he passed the light or if he passed the red light. Sorry. You're fine. So just to clarify, he knows the light was green, but he's not sure who ran the red light. Is that what I understand correctly? That's the heat jents back. Okay, got it. So where did the impact occur in the intersection? Where in the intersection to the two cars hit? I don't know in the middle of the country. Yeah, I think he says it was the middle of the street because his car was facing the opposite way from the way he was going. Okay. It did a 360 almost. Got it. Was he injured it all in the accident? If I was left him out of the choking. No, sorry. He said pain in the body, that's it. Okay. And did the police come on to the scene? You're on the police? Yes, they did. And what police department was it? All right. And did they issue any citations to anybody? Yes, they did. I don't know if she got anything. but he did. Okay and what were his citations for? Vehicle left turn. Terrace driving cause a bodily injury, license or driver's license required show without a valid driver's license. Driving under the influence, driving under the influence, bad alcohol can change 0.8. All right. So did he receive a DUI and take into jail with that or was he released? No, he took him to the hospital and draw blood and I don't think it was over the limit. Okay. So he was never arrested. No. Okay. Thank you for that. And then we've already got his car and damages taken care of so we don't need to cover where those are at. No. Okay. Thank you for that. And then we've already got his car and damages taken care of so we don't need to cover where those are at. Is there anything of the statement that we've gone over that you guys have questions on, you want clarification on, you want to clarify an answer of a certain way or anything? I'm going to a couple of the case. Okay, yeah, the car, and I'm going to have to keep on the seguant. No, they have no other question. All right, well, I'm going to stop the recorded statement then."</t>
  </si>
  <si>
    <t>" This is a Jester Jake starting a recorded statement with Sebastian, who speaks Spanish, and Betty is translating for him. Betty, are you aware I'm recording this conversation? Yes, I am. Do I have your permission to do so? Yes, you do. All right. And Sebastian, are you aware I'm recording this conversation? Yes. Yes. You know that you're recording. You have to say yes. Yes. All right. Do I have your permission to do so? Yes. All right. So with the accident that happened, Sebastian, give me some details surrounding it, where you were, what happened, how the impact occurred, everything you remember from it. Okay. Tiene que saber dónde ibas, dónde chocaste, y tiene que saber tu palabra. He said he was coming, um, up on Hancock Express to turn on the showing. Um, he says that he knew the light was green, but he says that he's not sure if the lady passed or if he passed the red light. Sorry. You're fine. So just to clarify, he knows the light was green, but he's not sure who ran the red light. Is that what I understand correctly? That's what he jumped at. Okay. Got it. So where did the impact occur in the intersection? I'm sorry, what was that? Where did the impact occur in the intersection? Where in the intersection did the two cars hit? In the middle. Yeah, I think he said it was the middle of the street because his car was facing the opposite way. From the way he was going. Okay. It did a 360 almost. Got it. Was he injured at all in the accident? He said he lost him out on the token. He said pain in the body. That's it. Okay. And did police come onto the scene? Yes, they did. And what police department was it? Colorado Springs Police Department. All right. And did they issue any citations to anybody? Yes, they did. I don't know if she got anything, but he did. Okay. And what were his citations for? Vehicle um left turn. Um, careless driving cause of bodily injury. License or driver's license required. So without a valid driver's license. Um, driving under the influence. Driving under the influence blood alcohol contains 0.8. All right. So did he receive a DUI and taken to jail with that, or was he released? No. They took him to the hospital and dropped blood, and I don't think it was over the limit. Okay. Got it. So he was never arrested? No. Okay. Thank you for that. And then we've already got his car and damages taken care of, so we don't need to cover where those are at. is there anything of the statement that we've gone over that you guys have questions on you want clarification on you want to clarify an answer of a certain way or anything ¿Tienes algunas preguntas algo que quieren saber? ¿Tienes algunas preguntas sobre el caso? Porque ya el carro ya está apagado Tomás, tenemos que ir con la aseguranza No, they have no other questions. All right. Well, I'm going to stop the recorded statement then."</t>
  </si>
  <si>
    <t>this is adjuster jake starting a recorded statement with sebastian who speaks spanish and betty is translating for him betty are you aware i'm recording this conversation yes i am do i have your permission to do so yes you do all right and sebastian are you aware i'm recording this conversation yes all right do i have your permission to do so permiso yes all right so with the accident that happened sebastian give me some details surrounding it where you were what happened how the impact occurred everything you remember from it ok save donas don't donate your cases he sabezed he said he was coming um up on hancock express to turn on the showing um he says that he knew the light was green but he says that he's not sure if the lady passed or if he passed the red light sorry you're you're fine so just to clarify he's he knows the light was green but he's not sure who ran the red light is that what i understand correctly that's what he just okay got it so where did the impact occur in the intersection i'm sorry what was that where did the impact occur in the intersection where where in the intersection did the two cars hit in the middle yeah i think he says it was the middle of the street because his car was facing the opposite way from the way he was going okay i did a three sixty almost got it was he injured at all in the accident he said pain in the body that's it okay and did police come on to the scene yes they did and what police department was it colorado springs police department all right and did they issue any citations to anybody uh yes they did i don't know if she got anything but he did okay and what were his citations for vehicle left turn um careless driving cause a bodily injury license or driver's license required so without a valid driver's license um driving under the influence driving under the influence blood alcohol contains point eight all right so did he receive a dui and taken to jail with that or was he released uh no he took him to the hospital and draw blood and i don't think it was over the limit okay got it so he was never arrested no okay thank you for that and then we've already got his car and damages taken care of so we don't need to cover where those are at is there any thing of the statement that we've gone over that you guys have questions on you want clarification on you want to clarify an answer of a certain way or anything elicaso they have no other questions all right well i'm going to stop the recorded statement then</t>
  </si>
  <si>
    <t>This is a gesture Jake, starting a recorded statement with Sebastian, who speaks Spanish, and Betty is translating for him. Yes, I am. Do I have your permission to do so? Yes, I am. All right, so, where did the impact occur in the intersection? Yes, you do. All right, so, with the impact occurred in the intersection? Yes. All right, so, with the impact occurred, everything you remember from it? Okay, you have to know where the impact occurred. Okay, you have to know where the impact occurred</t>
  </si>
  <si>
    <t>This is adjuster Jake starting a recorded statement with Sebastian, who speaks Spanish. and Betty is translating for him. Betty, are you aware I'm recording this conversation? Yes, I am. Do I have your permission to do so? Yes, you do. Alright, and Sebastian, are you aware I'm recording this conversation? Yes, alright. Do I have your permission to do so? All right, so with the accident that happened, Sebastian, give me some details surrounding it, where you were. What happened, how the impact occurred, everything you remember from it. He said he was coming up on. Express turn on the joey. He says that he knew the light was green. But he says that he's not sure if the lady passed or if he passed away. Sorry, you're you're fine. So just to clarify, he's he knows the light was green, but he's not sure who ran the red light. Is that what I. correctly. That's the check back. Okay, got it. So where did the impact occur in the Where did the impact occur? In the intersection? Where in the intersection did the two cars hit? in in the middle Yeah, I think he says it was the middle of the street because his car was facing the opposite way. from the way he was going. Okay, got it. Was he injured at all in the accident? payment What police department was it? Colorado Springs Police Department. All right. And did they issue any citations to anybody? Yes, they did. I don't know if she got anything, but he did. Okay, And what were his citations for? Vehicle left turnless driving car. Bodily injury license or driver's license required. Drove without a valid driver's license. Driving under the influence. Driving under the influence, but alcohol can change .8 All right, so did he receive a Dui and taken to jail with that or was he released? No, he, they took him to the hospital and draw blood and I don't think it was over the limit. Okay, so he was never around. Thank you for that. And then we've already got his car damages. taken care of so we don't need to cover where those are at. Is there anything of the statement that we've gone over that you. have questions on, you want clarification on, you want to clarify an answer of a certain way or anything. All right, well, I'm going to stop the recorded statement then. "</t>
  </si>
  <si>
    <t>"This is adjuster Jake starting a recorded statement with Sebastian, who speaks Spanish. and Betty is translating for him. Betty, are you aware I'm recording this conversation? Yes, I am. Do I have your permission to do so? Yes, you do. Alright, and Sebastian, are you aware I'm recording this conversation? Yes, alright. Do I have your permission to do so? All right, so with the accident that happened, Sebastian, give me some details surrounding it, where you were. What happened, how the impact occurred, everything you remember from it. He said he was coming up on. Express turn on the joey. He says that he knew the light was green. But he says that he's not sure if the lady passed or if he passed away. Sorry, you're you're fine. So just to clarify, he's he knows the light was green, but he's not sure who ran the red light. Is that what I. correctly. That's the check back. Okay, got it. So where did the impact occur in the Where did the impact occur? In the intersection? Where in the intersection did the two cars hit? in in the middle Yeah, I think he says it was the middle of the street because his car was facing the opposite way. from the way he was going. Okay, got it. Was he injured at all in the accident? payment What police department was it? Colorado Springs Police Department. All right. And did they issue any citations to anybody? Yes, they did. I don't know if she got anything, but he did. Okay, And what were his citations for? Vehicle left turnless driving car. Bodily injury license or driver's license required. Drove without a valid driver's license. Driving under the influence. Driving under the influence, but alcohol can change .8 All right, so did he receive a Dui and taken to jail with that or was he released? No, he, they took him to the hospital and draw blood and I don't think it was over the limit. Okay, so he was never around. Thank you for that. And then we've already got his car damages. taken care of so we don't need to cover where those are at. Is there anything of the statement that we've gone over that you. have questions on, you want clarification on, you want to clarify an answer of a certain way or anything. All right, well, I'm going to stop the recorded statement then. "</t>
  </si>
  <si>
    <t xml:space="preserve">This is adjuster Jake starting a recorded statement with Sebastian who speaks Spanish and Betty is translating for him. Betty, are you aware I'm recording this conversation? Yes, I am. Do I have your permission to do so? Yes, you do. All right. And Sebastian, are you aware I'm recording this conversation? All right, do I have your permission to do so? Yes. All right, so with the accident that happened, Sebastian, give me some details surrounding it, where you were, what happened, how the impact occurred, everything you remember from it. He said he was coming. Up on Hancock Express to turn on the He says that he knew the light was green, but he says that he's not sure if the lady passed or if he passed the light. Sorry. You're fine. So just to clarify, he knows the light was green, but he's not sure who ran the red light. Is that what I understand correctly? He Okay, got it. So where did the impact occur in the intersection? I'm sorry, what was that? Where did the impact occur? In the intersection? Where? In the intersection of the two cars hit. In the middle Yeah, I think he says it was the middle of the street because his car was facing the opposite way. From the way he was going. Okay, did a 360 almost got it. Was he injured at all in the accident? He said, pain in the body. that's it. Okay. And did police come onto the scene? And what police department was it? Colorado Springs Police Department. All right. And did they issue any citations to anybody? Yes, they did. I don't know if she got anything. But he did Okay, and what were his citations for? Vehicle Left turn Careless driving, cause of bodily injury license or driver's license required T without a valid driver's license. Driving under the influence. Driving under the influence of alcohol can change. Oh. .8. Right. So did he receive a Dui and taken to jail with that or was he released? No, they took him to the hospital and draw blood and I don't think it was over the limit. Okay, so he was never arrested? No. Okay. Thank you for that. And then We've already got his car and damages taken care of, so we don't need to cover where those are at. Is there anything Of the statement that we've gone over that you guys have questions on, you want clarification on, you want to clarify an answer of a certain way or anything. Okay, yeah. They have no other question. All right, well, I'm going to stop the recorded statement then. </t>
  </si>
  <si>
    <t>This is Adjuster Jake, starting a recorded statement with Sebastian, who speaks Spanish, and Betty is translating for him. Betty, are you aware I'm recording this conversation? Yes, I am. Do I have your permission to do so? Yes, you do. All right. Sebastian, are you aware I'm recording this conversation? Yes. All right. Do I have your permission to do so? Yes. All right. So, with the accident that happened, Sebastian, give me some details surrounding it, where you were, what happened, how the impact occurred, everything you remember from it. Okay, . He said he was coming up on Hancock Express to turn on the Joey. He says that he knew the light was green, but he says that he's not sure if the lady passed or if he passed the light. Sorry. You're fine. So just to clarify, he knows the light was green, but he's not sure who ran the red light. Is that what I understand correctly? That's what he just said. Okay. Got it. So where did the impact occur in the intersection? I'm sorry, what was that? Where did the impact occur in the intersection? Where in the intersection did the two cars hit? In the middle. Yeah, I think he says it was the middle of the street because his car was facing the opposite way from the way he was going. Okay. It did a 360 almost. Got it. Was he injured at all in the accident? He said pain in the body. That's it. Okay. And did police come onto the scene? Yes, they did. And what police department was it? Colorado Springs Police Department. All right. And did they issue any citations to anybody? Yes, they did. I don't know if she got anything, but he did. Okay. And what were his citations for? Vehicle left turn. Careless driving cause of bodily injury. License or driver's license required show without a valid driver's license. Driving under the influence. Driving under the influence blood alcohol contains .8. All right. So did he receive a DUI and taken to jail with that, or was he released? No, he was taken to the hospital and draw blood, and I don't think it was over the limit. Okay. Got it. So he was never arrested. No. Okay. Thank you for that. And then we've already got his car and damages taken care of, so we don't need to cover where those are at. Is there anything of the statement that we've gone over that you guys have questions on, you want clarification on, you want to clarify an answer of? A certain way or anything? No, they have no other questions. All right, well I'm going to stop the recorded statement then.</t>
  </si>
  <si>
    <t>this is a gesture Jake certainly recorded statement with Sebastian who speaks Spanish and Betty is translating for him Betty are you aware I'm recording this conversation  yes I am do I have your permission to do so  yes you do all right Sebastian are you aware I'm recording this conversation yes they will yes I was just in case you yes all right do I have your permission to do so  yes  all right so with the accident that happened so Bastion give me some details surrounding it where you were what happened how the impact occurred everything you remember from it  okay because  he  said he was coming up on Hancock Express  to turn on the Zoe  he says that he knew the light was Green  but he says that he's not sure if the lady pass or if you have  sorry you're fine so just to clarify he's he knows the light was green but he's not sure who ran the red light is that what I understand correctly  that's okay  so where did the impact occur in the intersection  I'm sorry I love that where did the impact occur in the intersection where where in the intersection of the two cars  and in the middle and then middle that I don't even know that  was the middle of the street because his car was facing the opposite way  from the way he was going okay it did a 360 almost got it was he injured at all in the accident  pain in the body that's it okay and did police come on to the scene here  and what Police Department was it  Colorado Springs Police Department all right and did they issue any citations to anybody  yes they did I don't know if she got anything  but he did okay and what were his citations for  vehicle left turn  Candice driving cause of bodily injury  license or driver's license required so without a valid driver's license  driving under the influence  driving Under the Influence but alcohol can change point eight  all right so did he receive a DUI and to jail with that or was he released know he said to the hospital and draw blood and I don't think it was over the limit okay  so he was never arrested  no okay  thank you for this and then we've already got his car and damages taking care of so we don't need to cover where those are at is there any thing of the statement that we've gone over that you guys have questions on you want clarification on you want to clarify an answer of a certain way or anything that's you just  have no other questions all right well I'm gonna stop the recorded statement</t>
  </si>
  <si>
    <t>This is a gesture Jake starting recorded statement with Sebastian who speaks Spanish and Betty is translating for him. Betty, are you aware I'm recording this conversation? Yes, I am. Do I have your permission to do so? Yes, you do. All right. And Sebastian, are you aware I'm recording this conversation?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Alright, so did he receive a DUI and taken to jail with that or was he released? No, they took him to the hospital and draw blood and I don't think it was over the limit. Okay, so he was never arrested? No. Okay, thank you for that. And then we've already got his car and damages taken care of so we don't need to cover where those are at. Is there anything of the statement that we've gone over that you guys have questions on, you want clarification on, you want to clarify an answer of a certain way or anything? Do you have any questions about the case? Because the car is already paid. We just have to deal with the insurance. No, they have no other questions. All right, well, I'm going to stop the recorded statement then.</t>
  </si>
  <si>
    <t>BW - Low Quality_mono</t>
  </si>
  <si>
    <t>16:28:00</t>
  </si>
  <si>
    <t>Hi, this is Elvis Salazar conducting a recorded statement with Jennifer Medina. Do I have your permission to record this statement?Thank you and this is in reference.To our claim number 7005167531Dash one for an accident that happened. I'm sorry. October 9th, 2022Today's date is October 10th, 2022 and the current time is 0.530555555555556 PM Mountain Standard Time.Alright. And Jennifer, if I can have you verify your name, address and phone number for me?Yes, it's Jennifer Medina. Address is 16902 E Harbor Ave. Aurora, Co 80013, phone number 720-621-4109.Thank you. Alright. And were you the one driving when this this accident happened?I was not.It was my aunt Jasmine.And what vehicle was Jasmine driving?My vehicle Honda umm Honda Accord 2012 Honda Accord.Do you have the VIN number to the Honda?I don't, I'm at work. They just told me to contact you guys but I'm at work all day so.Alright, I can get that later.Alright, is that Honda Accord you? That vehicle is registered to you?It is.All right. And does she?Have any consequences in her, in the car with her?Yes, my mother.Any other passengers?Contact Is this your mom or mother OK?And can you describe the meaning or the other vehicle involved? Is is what a motorcycle?A motorcycle.This year, is that right?OK, can.You describe to me what happened.Well, when they were driving now.I'm sorry, I can barely hear.You there's a lot of background noise.Let me see if I can go to the hold on. OK, OK.They just called me to give a statement of an accident. Yeah, OK.Oh, that was before I went.Yeah, yeah.I was like, I saw them right before I went to lunch.Again.Yes, yes, I remember that.Hello. Yes, hello. I'm here. I'm heading to Thank you.OK.Oh, that's better. And really quick. the V at the Honda, you said it's registered to you. How long have you owned that vehicle?I I registered a few months ago.I had it for about 8 years.You had it for about a year.And you just registered it.When I would say a few months ago, I can't remember when.OK, alright. And can you describe to me what happened?So I was walking already on Parkway and I.See my option.And as it's turning right, she's already on the far right lane all of a sudden.There's an open market. There's an idea, of course, Either you can go forward or you can just turn right.They're they're on. What street is she on?I don't know the name of the street, I know it's first exit.OK.Is there?OK.All right, so she's turning on to Buckley.Yes, she's turning on. I see her already.When I see the motorcycle trying to crossover.That's what I thought and then all of a sudden.I I see them scared or something? I just tried it.Fix his experience to prevent collision. I just want certainly and I don't hear any impact or anything.Here, and all I saw was that I looked again like I looked over to see that between the office, him and then the motorcycle.So I lived in. I seen him already on the ground and my and my birthday.They kept going and sit there and just trying to figure out what's going on for when you when he's he's in there. I hear all the motorcycles behind it, all the people in the motorcycle, what happened, what happened, what happened, asking him what happened.And he's like, Oh no, that need to purchase that in front of me. And they're like, OK, so then.The ambulance came and put there an ambulance thing and they asked when he was OK but then goodnight and the, uh, any assistance?And so then I sit there, and always for the reason and.Why I just told you at this point.I'm sorry, at this point, where's your aunt and your mom?They're driving, they're still trying to get older because my mom doesn't answer phone. She died. She's an older lady, so she's a long time. So she's driving home. I'm not home, but she's my brother. We're fishing, so and I think that we're talking about.So they they kept going. But then.So then the officers arrived. The officer was talking to him but didn't try to talk to me or try to talk to anybody about them. So I was just waiting for them to be done. So they moved the motorcycle and they parked it in the parking.So when they parked the motorcycle.In their car.After that I start seeing the guy just seeing the motorcycle.And I see the the gentleman.Three other times grabbed his motorcycle, motorcycle, lifting it up to get it on the truck. So he said I'm going to the truck and pulling it and things like that. Then the officer came out and.And then approach me to tennis.Have you approached me and told them that I'm the owner of the vehicle? I was able to talk to him and.And I need to talk to her. They're saying that my phone officer, I don't know, but I thought it was this is what I thought. And he noticed that I was there from the moment they arrived, he knew that I was sitting there so.He's like, I just need to talk to him and I'm like, OK.So they have out there for when the officers out there, they had just arrived.So they they answered that the officer was already there and okay, good.For the vehicle and SMB was repeat because there's not apps.And he looked at the paper and he covered the story and.History and he made the decision of not giving an opinion, not giving her a ticket because.The time, the damages, he said that was on his vehicle. He didn't see anything related to his.OK. That would be related to. So he made a decision to just let me change the company.OK, so going back to when you were watching, you said you're walking on Buckley, right?Yeah.Which direction were you walking on, Buckley?I was going South. S Stay ahead.Yes, Sir. Is there any?Your aunt and your mom are heading north.And the motorcycle was heading for it also from that place the.Motorcycle was also heading north with the with the motorcycle then behind the Honda.It was on the left side and then he ended up trying to get over to the right side.OK, so.You saw the Honda in the far right lane.Going north on buses and then the motorcycle is in the next lane to the left.It was on the left. OK, did.The motorcycle try to turn right in front of your aunt or or merge into that one.In the childbirth tried to merge into the lane and then he realized.OK. And you didn't see any contact?I do not see any kind of anywhere.All.Right.That's like I cannot do any contact.You just you just saw him fall off the bike or the bike fall over.Just so I couldn't really tell you because I was looking behind him, but I didn't. I didn't.Like I didn't care.I'm going here.When you were walking, when you're walking southbound on Berkeley, are you on the right side of Buckley or on the left?I'm on the left, right.Right.So you were you were walking against traffic.Yes.OK.Alright, do you have a phone number for your aunt? Is it the the 954-980-6131?Correct. OK.So the police never wrote an actual report.I'm not sure if you go to the report actually, yeah, they gave me a.What's that number?Case #22 Dash 292069OK, SO22 dash 20920692 Hash 292926 OK I'm sorry the phone keeps cutting out. SO22 dash 292069OK.All right. And were they just borrowing your vehicle or why were they driving your vehicle or do they normally drive in?They were, they were just boring. I had just never done it.And where is that vehicle usually kept? At your address or theirs? Or do you guys live together?No, I keep it in my my.That you don't live in the same household as them.OK, the phone cut out again. Is it your mom lives with you?You and your mom live together.Yes, my mother lives with me and my mom.Any other detail about how the accident happened that you wanted to add?Hello.No.And did you understand all my questions today?Did you understand this was recorded and recorded with your permission?And the answers you've given are too incorrect to the best of your knowledge.All right, let me go ahead and turn off the recording. Just a moment.</t>
  </si>
  <si>
    <t>" All right, this is Elvis Salazar conducting a recorded statement with Jennifer Medina. Do I have your permission to record this statement? You do. Thank you. And this is in reference to our claim number 700 516.7531-1 for an accident that happened, 7,000 516.7531-1, for an accident that happened, October 9, 2,000, 516, 2022. Today's date is October 10th, 2022 and the current time is 1244 p.m. Mountain Standard time. All right, and Jennifer if I can have you verify your name, address and phone number 40. Yes, it's Jennifer Medina. Adders is 16 902 East Harbor Avenue, Aurora, Colorado 800, 800 13, on number 720, 621-4109. Thank you. All right. And were you the one driving when this accident happened? I was not........ And what vehicle was Jasmine driving? And what vehicle was Jasmine driving? My vehicle, Honda Accord, the 2012 Honda Accord? Do you have the Venn number to that Honda? I don't. I'm at work. They just told me to contact you guys, but I'm at work. can get that later. All right, is that Honda core, that vehicle is registered to you? It is. All right. Is she having to pass into her in the car with her? Any other passengers? passengers? This one passenger. Is this your mom? I'm not there. Okay. You can you describe the meaning or the other vehicle involved is what, a motorcycle? Okay, can we just tell me what happened? Well, when there was driving out. I'm sorry, I can barely hear it, because I'm out of background, I. Let me see if I can go to the, hold on, okay? Okay. Okay.. Okay....... Oh, that was before I went home. E E haven. What question? They just called me to give a statement of an accident. Can I go back here and get to do it? Yes? Yes? Okay. That's me out. Yeah. Oh, that was before I was there. Oh, that was before I went home. Yeah, yeah. I was like, I saw them right before I was like, that's what I was going to do. Oh, I was going to go. That's what I was going to do. That's what I was doing. Yes, I remember that. Hello? Hello? Yes. Hello? I'm here. I'm heading too. Thank you. Okay. Okay. Okay... And it's really quick. The Honda, you said it's registered to you. How long have you owned that vehicle? I registered for you. I've registered for about a year. You've had it for about a year. it when I would say a two month ago I can't remember when I think it was when it was when they had opened so I was able to register it to be a okay and can you describe me what happened? And I'm not on the train and as she's turning right she's already on the all right lane. All of a sudden, there's an opening, okay, there's an idea of where you can just turn right. They're on that. What street is she on? Okay, there's an idea of where you can go forward. There's on that. What street is she on? I don't know the name of the street. I know it's the pink super exit. Okay. Is there... I see her between Is Harbors, and I'm going to my street, Harbors, and I left. All right, so she's turning on to Buckley? were an internal, cross-in-road. That's what I thought. He crossed under two right, and then all of a sudden I see him either not scared or something, I just wanted to try to get a experience real rights. To prevent a collision, I just see in certain, the scene. And I don't hear any impact, right? You got a quote, he got close, he got close, he got close, he got close, he, he got close, and then, he got close, and right, he. I didn't hear a impact. I didn't see it. All I saw was that we, I looked again, like I looked over to see because, they looked in the office town and then the most sector. So I lived and I see him already on the ground and and now in my mother they were going and he was still not going. there and just trying to figure out what's going on. Well, when he's in there, I hear all the most like, what happens? People, you know, it's like, what happens? I'm asking him what happens? And he's like, oh, no, that people just got in front of me. and they're like, okay, so then, I'm here and they ask them, he was okay, but then, then, the and they ask them, he was okay, but then, my, any, uh, any assistant, and so then I sit there and I'm waiting for the reason, and, and, at this point, at this point, where's your aunt and your mom? They're gone, they're driving, they're still driving. They're trying to get old and I can get home because mom doesn't answer for the only time she drives. She's in older than me. So she's driving home. Not home, but she was pregnant. So, and I did that from talking about, she was going. So they kept going. So they were there. So then the officers of the officers were talking to them. They didn't try to talk to me and try to talk to me and try to talk to anything around them. So I was just waiting for them to be done. So they moved the motorcycle and they parked it in the parking. So when they parked the motorcycle, they parked the motorcycle, they parked the motorcycle, they parked, I just see the other face walk back to get in their cars. After that, I start seeing the motorcycle, the motor, the motor,. and I see the gentleman switch three other times, the three other times, that his motorcycle, he was a motorcycle, lifting it up, we did it on the truck. So he just kept on going on the truck, and pulling it, and then he approached him for that. Then the officer, when he came through the camera, then the officer, when he came through the dinner, came out and then he approached me to get it and he approached me and he approached me and told them that I was able to talk to her, they were saying this and my school about to her So, I was able to talk to her, and he was pregnant and I was going to talk to her, their name and I'm like, well, he said, I was going, I just need to talk to her, and this is what I'm on. And he noticed that I was there from the moment they did, right? He knew that I was saying, so he said, I just need to talk to her. They had just a just a vibe in an elevator home. So they answered in the home that the officer was already there. And I'm like, okay, good. Okay, good. And he said, he looked like the vehicle and the officer was in his story and he was in his case. He was in jail. He was in his case. and he made the decision of not giving her a ticket, not giving her a ticket because the sentence, the damages he said that was on the vehicle, he didn't see anything related to him. That would be related to him. So he made a decision to just let me show he come to a woman. Right? Yes. Okay. Which direction were you walking on Buckley? I was going south. South? South. You're in your mom were heading north? Correct. And the motorcycle was heading north.. And the motorcycle was heading north.. The motorcycle was also heading north with it was the motorcycle then behind the Honda You're on the left side and then you're you saw the Honda in the far right lane? Going north on but then the motorcycle was in the next lane to the left. You saw the Honda in the far right lane. Okay, did the motorcycle try to turn right in front of your aunt or... Or... Or... You can try to merge, he turned to merge in the lane and then he really like that... Okay, and you didn't see any contact? I didn't see any time. All I saw was him, I threw down and right. Sure, the most of that's all. Like I did not see any contact. You just saw him fall off the bike or the bike fall over? Yeah. Yes, I just don't feel like. I just on the phone. I just don't. So I couldn't really tell you because I was looking behind him. But I didn't see him. I didn't see him. I didn't see him. I didn't see him. I didn't see him. I didn't see him. I didn't see him. I didn't see him. I didn't see him. When you were walking southbound on Buckley, are you on the right side of Buckley or on the left? Right, right on the left? So you were walking southbound on Buckley, are you on the right side of Buckley or on the left? Right. So you were walking against traffic? Yes. Okay.. Yes. Okay. Do you have a phone number for your aunt? Is it the 954 98061? Correct. Okay. So the police never wrote a actual report? I'm actually if you wrote a report. Actually, yes, they gave me a police report. I don't know if it was a phone. I don't know if it was a phone. I don't know if it was a phone. What's that number? Okay, two, case number, 22, that's 2, 9, 2069. Okay, so 2-0-9, 2069. Okay, so 2-0-69. Okay, so 2-9, 2-069. Okay, the phone keeps cutting out, so 2-2-9, 29. Okay, the phone keeps cutting out, so 2-2-969.. Okay. All right, and were they just borrowing your vehicle or why were they driving your vehicle or do they normally drive in? There was just paring it. I had to know what I mean. They said, well, and where is that vehicle usually kept at your address or if there, or do you guys live together? household of them? them. Okay, the phone cut out again. Okay, the phone cut out again. Your mom lives with you? You and your mom live together? Yes. Yes. Yes. My mom is with me and my mom. Okay. Yes.. Any other detail about how the accident happened that you wanted to add? I don't know. And did you understand all my questions today? Did you understand all my questions today? Did you understand this was recorded and recorded with your permission? Did you understand all my questions today? Did you understand all my questions today? Did you understand this was recorded and recorded with your permit? and recorded with your permission? A. A. And the answers you've given are true and correct to the best of your knowledge? All right, let me go and turn off the recording, just a moment."</t>
  </si>
  <si>
    <t>" All right, this is Elvis Alizar conducting a recorded statement with Jennifer Medina. Do I have your permission to record this statement? You do. Thank you. And this is in reference to our claim number 7005167531-1 for an accident that happened October 9, 2022. Today's date is October 10, 2022, and the current time is 1244 p.m. Mountain Standard Time. All right, and Jennifer, if I can have you verify your name, address, and phone number for you. Yes, it's Jennifer Medina. Address is 16902 East Harbor Avenue, Aurora, Colorado, 80013. Phone number 720-621-4109. Thank you. All right, and were you the one driving when this accident happened? I was not. It was my Aunt Jasmine. And what vehicle was Jasmine driving? My vehicle, Honda Accord, a 2012 Honda Accord. Do you have the VIN number to that Honda? I don't. I'm at work. They just told me to contact you guys, but I'm at work all day. All right. I can get that later. All right. Is that Honda Accord, that vehicle is registered to you? It is. All right, and does she have any passengers in her in the car with her? Yes, my mother. other passengers? Just one passenger. So it's your mom? I'm not there. Okay. Can you describe the other vehicle involved is what? A motorcycle? A motorcycle. This is this here, is that right? Correct. Okay. Can you describe to me what happened? I'm sorry, I can barely hear you. There's a lot of background noise. Let me see if I can go to the... Hold on, okay? Okay. Let me answer that. Okay. Okay. Evan, Evan, quick question. They just called me to give a statement of an accident. Can I have a back here and get to see it? Yes. Yeah, okay. He said, yeah. Oh, that was before I went to the hospital. Yeah, yeah. I was like, I saw them. Right before I went to lunch. Oh, I know. That's what I'm doing. You're talking about. Yeah. Yeah. Yeah. Yeah. Hello? Hello? Yes. Hello? I'm here. I'm heading to. Thank you. Oh, that's better. And really quick, the Honda, you said it's registered to you. How long have you owned that vehicle? I registered it 15 months ago. I had it for about a year. You had it for about a year? And you just registered it when? I would say a few months ago. I can't remember when. I think it was. When would it when they had opened? So I don't want to say. Because I wasn't able to register it. Okay. All right, and can you describe to me what happened? So I was walking already on Buckley and I, um, I see my arm turn. And as she's turning right, she's already on the far right lane. All of a sudden, um, There's an open, okay. There's an exit of King's first either you can go forward or you can just turn right. They're on, what street is she on? I don't know the name of the street. I know it's King's first exit. Okay. Is it? It's between Isles and Harbour. It's between my street, Harbour and Isles. All right. So she's turning onto Buckley? Yes, she's turning on to, I see her already when I see the motorcycle cross over. That's what I saw. And then all of a sudden, I see him, he was not scared or something. I just see him trying to fix his experience. to prevent collision. I just see him searching the same, and I don't hear any impact or anything. He got closed. He got really closed. I didn't hear an impact. I didn't hear it. All I saw was that he, I looked again, like I looked over to see, he looked in the office cam and then the motorcycle. So I looked and I see him already on the ground. And now in my mother, he's going. But he kept going. And he's going up. So I stood at the booth. I stood there. And just trying to figure out what's going on. But when he's standing there, I hear all the motorcycles behind him. The people. I was like, what happened? What happened? I was asking him what happened. And he's like, oh, no, that people just got in front of me. And they're like, okay. So then the ambulance came. I stood there and the ambulance came. And they asked him if he was okay. So then he denied any assistance. And so then I stood there and I was waiting for the reason. and at this point, I'm sorry, at this point, where's your aunt and your mom? They're gone. They're driving. They're still driving. And I'm trying to get a hold of them and actually get a hold of them because my aunt's woman has her phone and she's driving. She's an older lady. So she's driving home. not home, but to my brother's house. So, and I knew that from talking to them. So they kept going. So then, the officer arrived. The officer was talking to him, but they didn't try to talk to me or try to talk to anybody around them. So I was just waiting for them to be done. So they moved the motorcycle and they parked it in the parking lot. So when they parked the motorcycle in the parking lot, I just see the officers walk back to get in their cars. After that, I start seeing the guy who's drifting the motorcycle. and I see the gentleman three other times grab his motorcycle, he was using the motorcycle, lifting it up, and getting it on the truck. So he just kept on going up in front of the truck and pulling it and things like that. Then the officer, when they became super, came out, and then he approached me to get it. And he approached me and told him that I'm the owner of the vehicle. I was able to talk to him. And he said, well, he was pregnant. And I told him to mom. And he said, well, I need to talk to her. They're saying this. And I'm like, well, officer, I don't know what I thought. And this is what I thought. And he noticed that I was there from the moment they arrived. He knew that I was there. So he's like, I just need to talk to him. And I'm like, okay. So they kept out there. When the officer was out there, they had just arrived and they had to get a hold. So they answered and they told me that the officer was already there. And I'm like, okay, good. So when the officer went and saw the vehicle, and that's when he was in chief. because it was not a pastor. And he looked at the vehicle and he heard her story and his story and he made a decision of not giving her a ticket. Not giving her a ticket because sometimes the damages he said that was on his vehicle he didn't see anything related to his that would be related So we made a decision to just let me share. Okay. So going back to when you were walking, you said you're walking on Buckley, right? Yes. Which direction were you walking on Buckley? I was going south. South? They were heading north. Yes, south. Your aunt and your mom were heading north? Correct. And the motorcycle was heading north also on the left lane. The motorcycle was also heading north? Was the motorcycle then behind the Honda? No, it was on the left side. And then he ended up trying to get over to the right side. Okay. So you're you saw the Honda in the far right lane going north on bus and then the motorcycle was in the next lane to the left? Okay. Did the motorcycle try to turn right in front of your aunt or or merge into that lane? He tried to merge it to a lane and then he realized I gave up to the car. Okay. And you didn't see any contact? I did not see any contact. I didn't hear any. All I saw was like Like I did not see any contact. You just saw him you just saw him fall off the bike? Or the bike fall over? Yeah, I just don't go down to just just like so I couldn't really tell you because I was looking behind him. But I didn't I didn't. I didn't care. When you're when you were walking when you're walking southbound on Buckley, are you on the right side of Buckley or on the left? I'm on the left. I'm right. So you were walking against traffic? Yes. Okay. Do you have a phone number for your aunt? Is it the 954-980-6131? Correct. Okay. So the police never wrote a a an actual report. I'm not sure if you wrote a report. Um, actually, yeah, they gave me a police report. I don't know if it's the phone. What's that number? It's the case number 22-29-2069. Okay, so 22-209-2069? 22-209-2069. Okay, I'm sorry, the phone keeps cutting out. So 22-209-2069? Correct? Okay. All right, and were they just borrowing your vehicle, or why were they driving your vehicle, or do they normally drive it? They were just borrowing it. I had just never been in the case there at home. And where is that vehicle usually kept? At your address or at theirs? Or do you guys live together? No, I keep it in my address. You don't live in the same household as them? Absolutely. My mom lives in the same household. Okay, the phone cut out again. Your mom lives with you? You and your mom live together? Yes. Yes. My mother lived with me and my mom. My mother was talking with you. My mother was talking with you. Okay. Any other detail about how the accident happened that you wanted to add? All right. And did you understand all my questions today? Did you understand this was recorded and recorded with your permission? And the answers you've given are true and correct to the best of your knowledge? All right. Let me go ahead and turn off the recording in just a moment."</t>
  </si>
  <si>
    <t>"Hi, this is Elvis Salazar conducting a recorded statement with Jennifer Medina. Do I have your permission to record this statement? Thank you. And this is in reference to our claim number. 700-516-7531. Dash one for an accident that happened Jan. Sorry. October 9, 2022. Today's date is October 1020, 22, and the current time is 12:44 p.m., mountain standard time. All right. And Jennifer. I can have you verify your name, address, and phone number for me. Yes, it's Jennifer Medina. Address is six. 902 East Harvard Avenue, Aurora Colorado, 800 13, phone number 7206. 214109. Thank you. All right. And were you the one driving when this this accident? It was my Aunt Jessil. Oh. What vehicle was Jasmine driving? My vehicle? Honda. Honda. Do you have the Vin number to that Honda? I don't, I'm at work all day so I can get that later. All right, is that Honda Core? You got a vehicle? registered to you. Alright, and does she have any passengers in her? Yes, my mother. any other passengers Just your mom. Okay. Can you describe to me? that right? Can you describe to me what happened? Let me see if I can go to the. Okay. They just called me to give a statement of an accident. Can I go back there and get this statement? Yeah. Oh, that was paper I want to sell. I was like, I saw them right before I went to lunch. Yes. Hello, yes, hello, I'm here. heading to Okay. That's better. really quick. The Honda, you said it's registered to you. How long have you owned that vehicle? You had it for about a year. and you just registered it when. Okay. Can you describe to me what happened? And as this training bright. she's already on the far bright lane all of a sudden. There's an open source, either you can go forward or you can just turn right. What street is she on? I don't know the name of the street. I know it's. Okay, is there So she's turning on to Buckley. I see her already above me when I see the motorcycle cross over. That's what I saw. and I don't hear any impact or anything. All I i i saw was that he I looked again like I I looked over to see and just trying to figure out. And he's like, oh no, that vehicle just got in front of me. and they're like, okay, And they ask. Mark I'm sorry at this point. Where's your aunt and your mom? She's an older name, so she does. so she's driving home. Not home, but. So So they, they kept going. so then the office. So they moved the the motorcycle and they parked it in the parking well when they parked the motorcycle. And I see the the gentleman switch. Then the officer came out. So they check out. Okay, good. not giving her a ticket because anything related to his Okay. So going back to when you were walking, you said you're walking on Buckley, right? Which direction were you walking on, Buckley? south, your aunt and your mom were heading north. and the motorcycle was The motorcycle was also heading north. Was the motorcycle then behind? Honda Okay, so you saw the Honda in the far right lane. going north on buffet and then the motorcycle is in the next lane to the left. Did the motorcycle try to turn right in front of your aunt or? or merge into that one. Okay, and you didn't see any contact? You just saw him, you just saw him fall off the bike or the fall, the bike fall over. So I couldn't really tell you because I was looking. When you're walking southbound on Buckley, are you on the right side? Buckley or on the left. So you you were walking against traffic? Yes. Okay. Do you have a phone number for your aunt? Is it the the 95498? 06131. Police never wrote an actual report. What's that number? Case number 22 92069. Okay, so 22-2092069. I'm sorry the the phone keeps cutting out so 22-292. 069 And were they just borrowing your vehicle or? And where's that vehicle usually kept at your address or if there? you don't live in same household as them. Okay, the phone cut out again. Your mom lives with you. You and your mom live together. any other Tell about how the accident happened that you wanted to add. No. Hi, and did you understand all my questions today? Did you understand this was recorded and recorded with your permission? and the answers you've given are true and correct to the best of your knowledge. Let me go ahead and turn off the recording just. moments "</t>
  </si>
  <si>
    <t xml:space="preserve">Right, this is Elvis Salazar conducting a recorded statement with Jennifer Medina. Do I have your permission to record this statement? You do Thank you. and this is a reference. To our claim number 700516. 7531. One for an accident that happened. October 9, 2022. Today's date is October 10, 2022, and the current time is 12:44 p.m., mountain standard Time. All right, and Jennifer, if I can have you verify your name, address, and phone number for me. Yes, Jennifer Medina address is 16 902 East Harbor Avenue, Aurora, Colorado, 800 13, phone number 720-621-4109. Thank you. All right. And were you the one driving when this accident happened? I was not It was my aunt. Jasmine Nadine. And what vehicle was Jasmine driving? My vehicle Honda, Honda Accord, the 2012 Honda Accord. Do you have the Vin number to that Honda? I don't. I'm at work. They just told me to contact you guys, but I'm at work all day. All I can get that later. All right, is that Honda Accord? The vehicle is registered to you. All right, and does she have any passengers in the car with her? Yes. Any other passengers Your mom Can you describe the The other vehicle involved is what? A motorcycle. Vicky, is that right? Good Can you describe to me what happened? Well, when I'm sorry, I can barely hear you. There's a lot of background noise. Let me see if I can. He He They just called me to give a statement of an accident. Can I run back there and. It That was I was like, I saw them right before I went to lunch. Yes. Remember that Hello. Yeah. Hello. I'm heading Okay. That's better. And really quick, the Viet, the Honda, you said it's registered to you. How long have you owned that vehicle? I registered just a few months ago. You've had it for about a year. And you just registered it. When I would say a few months ago, I can't remember when. One day I was able to register. Right. And can you describe to me what happened? So I was walking on Broadway and. I A And turning right, she's already on the far right lane. All of a sudden. There's an idea of You can go forward or you. what street is she on? I don't know the name of the street. I know it's the exit. Okay. Is it My street Harvard and Right. So she's turning on to Buckley. I see her. When I see the motorcycle to cross over. That's what I saw. To the right and then all of a sudden I see him. And got scared or something. I just want to try to. Experience And I don't hear any impact or anything. All I saw was that I looked again, I looked over. To see The office and the motorcycle. So I look and see him on the ground. My And just trying to figure out what's going on. He What happened? asking him what happened and he's like, oh no, that. Just got in front of me and they're like, okay, so then. The ambulance came and put an ambulance and asked him if he was okay. Any Assistance And so I was waiting for the I'm sorry at this point. Where's your aunt and your mom? They're gone, they're driving. They're still driving. She's an old name. So she's driving. Not home, but she And I know that. So they kept going. So then the officer arrived, the officer was talking to them, but they didn't try to talk to me or try to talk to anybody around them. So I was just waiting for them to be done. So they moved the motorcycle and they parked it in the parking lot. But when they park their motorcycle and I just back to get in their cars. After that, I start seeing the guy. The motorcycle And I see. The gentleman Three other times. So Then the officer The king came out. And then he approached me. And he approached me and I told him that I. And I need to talk to her. And he noticed that I was there from the moment they arrived. He knew that I was so. I just need to. So they check out there. When the officers out there They had just arrived. So They answered and told me that the officer was already there and I'm like, okay, good. The Her story And Made the decision of not giving her a ticket. Not giving her a ticket because. The damages he said that was on this vehicle. He didn't see anything. Related to his That would be related to So he, okay. So going back to When you were walking, you said, you're walking on Buckley, right? Yes. Which direction were you walking on, Buckley? I was going south. Your aunt and your mom are heading north. The motorcycle was Heading north also from the motorcycle was also heading north was the motorcycle then behind the Honda? It was on the left side and then he ended up. Trying to get over to the right side. Okay, so. You saw the Honda in the far right lane. Going north on the and then the motorcycle is in the next lane to the left. Did the motorcycle try to turn right in front of your aunt? Meg Try to Okay, and you didn't see any contact? I did not I saw Church You just saw him fall off the bike or the bike fall over. So I couldn't really tell you because I was looking. Behind him, but I didn't see it. When you were When you're walking southbound on Buckley, are you on the right side of Buckley or on the left? I'm on the left. So you were walking against traffic. Yes, okay. Do you have a phone number for your aunt? Is it the 954 9806131? So the police never wrote. An actual report I'm not sure if you What's that number? Number two. 292069. Okay, so 222-09-2069. I'm sorry, the phone keeps cutting out. so two, two. 292069. Okay. Right. And were they just borrowing your vehicle or why were they driving your vehicle or do they normally drive it? And where's that vehicle usually kept? At your address or at theirs? or do you guys live together? No. You don't live in the same household as them. Okay, the phone cut out again. Your mom lived with you. You and your mom live together. My grandmother passed away. Any other detail about how the accident happened that you wanted to add? No. Did you understand all my questions today? Did you understand this was recorded and recorded with your permission? And the answers you've given are true and correct to the best of your knowledge. Right, let me go ahead and turn off the recording just a moment. </t>
  </si>
  <si>
    <t>All right, this is Elvis Salazar conducting a recorded statement with Jennifer Medina. Do I have your permission to record this statement? You do. Thank you. And this is in reference to our claim number 700-516-7531. for an accident that happened October 9th, 2022. Today's date is October 10th, 2022, and the current time is 12:44 p.m. Mountain Standard Time. All right, and Jennifer, if I can have you verify your name, address, and phone number for me? Yes, it's Jennifer Medina. Address is 16902 East Harbor Avenue, Aurora, Colorado, 800-13, phone number 720-621-4109. Thank you. All right. And were you the one driving when this accident happened? I was not. It was my aunt, Jasmine Medina. And what vehicle was Jasmine driving? My vehicle, Honda, Honda Accord, a 2012 Honda Accord. Do you have the VIN number to that Honda? I don't. I'm at work. Okay. They just told me to contact you guys, but I'm at work all day, so. All right, I can get that later. All right, is that Honda Accord, that vehicle is registered to you? It is. All right. And does she have any passengers in her in the car with her? Yes, my mother. Any other passengers? Just one passenger. Just your mom. My mother. Okay. And can you describe to me or the other vehicle involved is what? A motorcycle? A motorcycle. Is that right? Correct. Okay. Can you describe to me what happened? Well, when I was driving out... I'm sorry, I can barely hear you. There's a lot of background noise. Let me see if I can talk to the... Hold on a sec. Okay. They just called me to give a statement of an accident. Can I run back there and get to do it? Yeah. Okay. Oh, that was before I went to lunch. Yeah. I was like, I saw them right before I went to lunch. That's what I know. Hello. Yes. Hello. I'm here. I'm heading to. That's better. And really quick, the Honda, you said it's registered to you. How long have you owned that vehicle? I registered it a few months ago. Okay. I had it for about a year. You had it for about a year? Yes. And you just registered it when. I would say a few months ago. I can't remember when. I think it was... because I've been able to register it. Okay. All right. And can you describe to me what happened? So I was walking already on public and I, I see my aunt turn and as she's turning right, she's already on the far right lane. All of a sudden, There's an open one. Okay. There's an exit. You can go forward or you can just turn right. What street is she on? I don't know the name of the street. I know it's the first exit. Okay. Is it... It's between my street, Harvard, and Island. All right, so she's turning on to Buckley. Yes, she's turning on to Buckley. I see her already when I see the motorcycle trying to cross over to the right. That's what I saw. He crossed over to the right, and then all of a sudden, I see him scared or something. I just see him trying to Fixed his steering wheel. To prevent a collision, I just feel certain and I don't hear any impact or anything. We got closed. We got really closed. I didn't hear an impact. I didn't hear anything. All I saw was that we. I looked again, like I looked over to see because it was in the office cam and then the motorcycle. So. I see him already on the front and now in my other, they just kept going. It kept going and going on. So I stood at the. I stood there and just trying to figure out what's going on. So when he's standing there, I hear all the motorcycles behind the people in the motorcycles. What happened? What happened? Asking him what happened. And he's like, no, that vehicle just got in front of me. And they're like, okay. So then the ambulance came, and they asked me if he was okay, but then he denied any assistance. And so then I sit there and I was waiting for the police. At this point, at this point, I'm sorry, at this point, where's your aunt and your mom? They're, they're, they're gone. They're driving. They're still driving. I'm trying to get older and I can't get older because my mom doesn't answer her phone. She's an elderly. So she's driving home. Not home, but she's booked. And I did that from talking to them. So they kept going. So then the officer was talking to them, but they didn't try to talk to me or try to talk to anybody around them. So I was just waiting for them to be done. So they moved the motorcycle and they parked it in the parking lot. Well, when they park the motorcycle, they park it out, I'm just going to walk back to get in their cars. After that, I start seeing the guy who's lifting the motorcycle, they're driving up the truck, and I see the gentleman switch three other times. his motorcycle lifting it on the truck. So he just kept on going up in front of the truck and pulling it and things like that. Then the officer came out and then he approached me. And he would approach me and told him that I'm the owner of the vehicle. I was able to talk to him. And he said, well, I need to talk to her. They're saying this. I don't know what I thought. And he noticed I was there from the moment they arrived. He knew that I was doing that. So He's like, I just need to talk to him. And I'm like, Okay, so they checked out there. Well, when the officers found there, they had just arrived and now they can get a hold of him. So they answered and they told me that the officer was already there. And I'm like, Okay, good. So when the officer went and saw the vehicle, and that's when he was confused. Because there's no. And he looked at the vehicle and he heard her story and his story and he made a decision of not giving her a ticket, not giving her a ticket because the damages he said that was on this vehicle, he didn't see anything related to his. That would be related to. So we made a decision to just let the insurance company go there. Okay. So going back to when you were walking, you said you're walking on Buckley, right? Yes. Which direction were you walking on Buckley? I was going south. South. They were heading north. Yes, south. Your aunt and your mom were heading north. And the motorcycle was heading north also on the left lane. The motorcycle was also heading north? Was the motorcycle then behind the Honda? No, it was on the left side and he ended up trying to get. Over to the right side. Okay, so You saw the Honda in the far right lane going north on bus. And then the motorcycle was in the next lane to the left. It was on the left, yeah. Okay. Did the motorcycle try to turn right in front of your aunt or merge into that lane? He tried to merge into the lane and then he realized that. Okay. And you didn't see any contact? I did not see any contact. I didn't even hear any contact. All I saw was him, like, put it down and, like... That's all I saw. Like, I did not see any contact. You just saw him, you just saw him fall off the bike? Or the bike fall over? Yes. Yes. I just went downstairs. He just took the bike, so I couldn't really tell you because I was looking behind him, but I didn't. I didn't see him. I didn't hear it. Okay. When you're... When you were walking, when you're walking southbound on Buckley, are you on the right side of Buckley or on the left? I'm on the left, I'm right. Right, on the same side. So you were walking against traffic? Yes. Okay. All right. Do you have a phone number for your aunt? Is it the 954-980-6131? Correct. Okay. So the police never wrote an actual report. I'm not sure if you go to the report. Actually, yes, they gave me a police report. I don't know if it's the phone. What's that number? It's the case number. 22-292069. Okay, so 22-2092069? Yes. Okay. I'm sorry, the phone keeps cutting out. So 22-292069? Correct. Okay. All right. And were they just borrowing your vehicle, or why were they driving your vehicle, or do they normally drive it? They were just borrowing it. I had just mailed them in. And where's that vehicle usually kept, at your address or at theirs? Or do you guys live together? No, I keep it in my house. You don't live in the same household as them? Okay, the phone cut out again. So your mom lives with you? You and your mom live together. Yes, my mother lives with me and my aunt. For a doctor, this is my grandmother. Okay, any other detail about how the accident happened that you wanted to add? I don't know. All right. And did you understand all my questions today? Did you understand this was recorded and recorded with your permission? Aye. And the answers you've given are true and correct to the best of your knowledge? Yes. All right. Let me go ahead and turn off the recording. Just a moment.</t>
  </si>
  <si>
    <t>all right this is Elvis Salazar conducting a recorded statement with Jennifer Medina do I have your permission to record this statement  you do  thank you and this is a reference  to our clean number 700516  7531  dash 1 for an accident that happened for October 9th 2022  today's date is October 10th 2022 in the current time is 12:44 p.m. Mountain Standard Time  all right and Jennifer if I can have you verify your name address and phone number for  yes is Jennifer Medina address is 16902 East Harvard Avenue Aurora Colorado 80013 phone number 720-621-4109  thank you all right and we're the one driving when this accident happened  I was not  it was my aunt Jasmine both and what vehicle was Jasmine driving  my vehicle Honda Honda Accord 2012 Honda Accord  we have the VIN number to the hunger  I don't I'm at work okay just told me that contact you guys but I'm not Facebook all right I can get that later  all right is that Honda Accord you Vehicles registered to you  all right and she having to passengers in the car with her  yes  the other vehicle involved is is what a motorcycle some of  the physically is that right  good  okay so we just personally what happened  well when it was driving out I'm sorry I can barely hear a lot of background noise let me see if I can just okay  yeah  they just called me give a statement of an accident and I love that  yeah okay okay  that's better  and it really quick the Viet the Honduras is it a tradition to you how long have you owned that vehicle  I register it a few months ago  prepared for about a year  and you just registered it  when I would  have been able to  okay  all right and can you just describe to me what happened  well I was walking already 16 okay  so she's turning on to Buckley  yes she's turning on  her already when I see the motorcycle trying to cross over  that's what I saw right and then all sudden I actually it's not scared or something I just  want to and I don't care any impact right here all right  okay she's driving home  not home but  I'm talking about  to shout  so they kept going  so that  so that the officers are like the officers they didn't try to talk to you motorcycle and  it's hard  after that his motorcycle and then he  approached me they're saying it right  and he because  it tends the damages that will be anything  related to his  that would be related to so he made a decision to just let me just  okay  so going back to when you were watching you said you're walking on Barkley right  yeah which direction will you walk in on Buckley  South  and your mom were hurting North  and  more  with the motorcycle then behind  the Honda  Okay so here you saw the Honda in the far right lane  going north on busy and then the motorcycle was in the next link to the left  okay did the motorcycle try to turn right in front of your aunt or  or emergency  emergency  okay and you didn't see any contact  I did not  you just saw him fall off the bike or the bikes fall over yes when you hear when you were walking here when you're walking Southbound on Berkeley are you on the right side of Buckley or on the left  I'm on the left right  right  so you're you were walking against traffic  yes okay  all right do you have a phone number for your aunt is it the the nine five four nine eight zero six one three one  so the police never wrote a an actual report  I'm actually  2092069 okay I'm sorry the phone keeps cutting out so two two dash two nine two zero six nine  okay  all right and where they just borrowing your vehicle or why were they driving your vehicle or do they normally Drive In  they're just  sorry I had just  now  and where is that vehicle usually kept at your address or if there's or do you guys live together  yeah  you don't live in the same household as them  okay the phone cut out again so your mom was with you you and your mom live together together  yes  any other detail about how the accident happened that you wanted to add  all right and did you understand all my questions today  did you understand this was recorded and recorded with your permission  and the answer is given are true and correct to the best of your knowledge  only one turn off the recording just a moment</t>
  </si>
  <si>
    <t>All right, this is Elvis Salazar conducting a recorded statement with Jennifer Medina. Do I have your permission to record this statement? You do. Thank you. And this is in reference to our claim number 7005167531-1 for an accident that happened, I'm sorry, October 9th, 2022. Today's date is October 10th, 2022, and the current time is 1244 p.m. Mountain Standard Time. All right, and Jennifer, if I can have you verify your name, address, and phone number for you. Yes, it's Jennifer Medina. Address is 16902 East Harbor Avenue, Aurora, Colorado, 80013. Phone number 720-621-4109. Thank you. All right. And were you the one driving when this accident happened? I was not. It was my aunt, Jasmine Medina. And what vehicle was Jasmine driving? My vehicle, Honda, Honda Accord, a 2012 Honda Accord. Do you have the VIN number to that Honda? I don't. I'm at work. They just told me to contact you guys, but I'm at work all day. All right, I can get that later. All right, and that Honda Accord, that vehicle was registered to you? It is. All right, and does she have any passengers in the car with her? Yes, my mother. Any other passengers? Just one passenger. Just your mom? Another. Okay. And can you describe the other vehicle involved? Is what? A motorcycle? A motorcycle. A Suzuki, is that right? Correct. Okay. Can you just describe me what happened? Well, when they were driving now. I'm sorry, I can barely hear you. There's a lot of background noise. Let me see if I can go to the, hold on, okay? Okay. And then, and then. I said, I said, they just called me to give a statement of an accident. Can I go back there and give a statement? Yeah. Yeah, okay. Oh, that was before I went to lunch. Yeah, yeah. I was like, I saw them right before I went to lunch. That's what I was walking back. Oh, I saw them. That's what I was walking and as she's turning right, she's already on the far right lane. All of a sudden, there's an opening. Okay, there's an exit. So first, either you can go forward or you can just turn right. What street is she on? I don't know the name of the street. I know it's the first exit. Okay. Is it? It's between Iris and Harbor. It's between my street, Harbor, and Iris. All right, so she's turning onto Buckley? Yes, she's turning onto Buckley. I see her already when I see the motorcycle turn and cross over. That's what I saw. He crossed over to the right, and then all of a sudden, I see him. He got scared or something. I just see him trying to fix his experience. To prevent a collision. I just see him turning to the same, and I don't hear any impact or anything. He got close. He got really close. I didn't hear an impact. I didn't hear it. All I saw was that he, I looked again, like I looked over to see if he was looking at him and then the motorcycle behind him. So I looked and I see him already on the phone. And now in my other face, they just keep going. They keep going and I'm just going up. So I stood at the food. I sit there and just trying to figure out what's going on. So when he's standing there, I hear all the motorcycles behind the people. I was like, what happened? What happened? Asking him what happened. And he's like, oh, no, that vehicle just got in front of me. And they're like, okay, so then I'm doing the thing. I sit there and I'm doing the thing. And they asked him, he was okay. So then, any assistance? And so then I sit there and I'm waiting for the police. And so, at this point, I'm sorry, at this point, where's your aunt and your mom? They're gone. They're driving. They're still driving. And I'm trying to get a hold of them. And I can get a hold of them because my aunt is in her phone. She's in her name. So she doesn't answer. So she's driving home. Not home, but to my brother's house. So, and I know that After that, I start seeing the guy lifting the motorcycle. They were hitting up the front. And I see the gentleman switch three other times, grab his motorcycle, lifting it up, and get it on the truck. So he just kept on going up the front of the truck and pulling it and things like that. Then the officer, when they took the SUV out, and then he approached me to kill him. And he approached me and I told him that I'm the owner of the vehicle. I was able to talk to him. And he said, well, we were chasing this. And he said, well, I need to talk to her. They're saying this. And I'm like, well, officer, I don't know what I thought. This is what I thought. And he noticed I was there from the moment they arrived. He knew that I was saying that. So, he's like, I just need to talk to you. I'm like, okay. So, they kept out there. But when the officers out there, they had just arrived and I'll be the whole. So, they answered and they told me that the officer was already there. And I'm like, okay, good. Okay, so. So, when the officer saw the vehicle and that when he was in the vehicle, he looked at the vehicle and he worked her story and this story. and he made the decision of not giving her a ticket because the damage he said that was on this vehicle, he didn't see anything related to his. So he made the decision to just let me turn. Okay. So going back to when you were walking, you said you're walking on Buckley, right? Yes. Okay. Which direction were you walking on Buckley? I was going south. South? They were heading north. Yes, south. And they were heading north. Your aunt and your mom were heading north? Correct. And the motorcycle was heading north also from that lane. The motorcycle was also heading north with the motorcycle then behind the Honda? No, it was on the left side. And then he handed up trying to get over to the right side. Okay, so you saw the Honda in the far right lane. going north on Buckley and then the motorcycle was in the next lane to the left? It was on the left, yes. Okay. Did the motorcycle try to turn right in front of your aunt or merge into that lane? He tried to merge into the lane and then he realized that he was up. Okay. And you didn't see any contact? I did not see any contact. I didn't hear any contact. All I saw was him, like, fall down and, like, just the motorcycle. That's all I saw. Like, I did not see any contact. You just saw him fall off the bike or the bike fall over? Yeah. Yeah. I just saw him fall down. He just took the bike. So I couldn't really tell you because I was looking behind him. But I didn't, I didn't, like, I didn't care. Okay. When you were walking southbound on Buckley, are you on the right side of Buckley or on the left? I'm on the left. I'm right. Right on the same side. So you were walking against traffic? Yes. Okay. Do you have a phone number for your aunt? Is it the 954-980-6131? Correct. Okay. So the police never wrote an actual report? I'm not sure if they wrote a report. Actually, yes, they gave me a police report. I don't know if it was the same. What's that number? It's 12-29-2069. Okay, so 22-209-2069? Okay, I'm sorry, the phone keeps cutting out. So 22-292069? Okay. All right, and were they just borrowing your vehicle or why were they driving your vehicle or do they normally drive it? They were just borrowing it. I had just never been there. And where is that vehicle usually kept? At your address or at theirs or do you guys live together? No, I keep it in my address. Okay, you don't live in the same household as them? Okay, the phone cut out again. Is it your mom lives with you? You and your mom live together? Yes. Yes, my mom lives with me and my mom. Okay, any other detail about how the accident happened that you wanted to add? And did you understand all my questions today? Did you understand this was recorded and recorded with your permission? And the answers you've given are true and correct to the best of your knowledge? All right, let me go ahead and turn off the recording just a moment.</t>
  </si>
  <si>
    <t>Property - Poor Quality_mono</t>
  </si>
  <si>
    <t xml:space="preserve">Hi, this is Lauren calling with Farmers Insurance. How are you? I'm doing well. I was giving you a call about the claim. Is now a good time? Yeah, it's a good time. OK, perfect. And just before we continue, I do need to let you know that all my calls are recorded, Is that alright? OK, OK, thank you. So let me just confirm a few things with you here 1st and I'll have you kind of give me some details. Umm, we have this happened on October 2nd, is that right? Thank you for the viewer out Friday, Saturday. We came back on Sunday and we saw that it was there. So when you have to say when it got done between Friday, Saturday, Sunday. So it's our best question estimate. OK. And I have your address as 11. Yeah, he left from Friday 4:00 and we came on Sunday 9 and then when we entered the house we saw that. So Sunday around that. OK. Friday in the afternoon, 4:00 PM. OK. And Sunday PM as well 9. Yeah. OK. OK. And I have your address as 113871 D place that's. Correct. OK. Alright, And did the police respond? Did they come out or did they just do it over the phone? They told us not to get in the house because they wanted to check it. There was anyone there and of course no one was there. And then they located in the house. OK. Any suspects or did they mention anything about any other break insurance in the area? They are saying there are a whole bunch of great things happening recently. I think there's some international game doing it across the board and all of that. Right. So I don't know. OK, something so they might they look, they told us that the signature coming from look like that. OK. OK. And what about any damage to the home? Or do you know how they got in? They broke the glass and then they also damaged the clothes. They also took away the food. OK. And the glass? The front door. The back door, the family gave that family, family back door and they also took away all our buildings. So those are the clinic. Compromise. OK, I'm sorry to hear that. OK. And you said damage to the flooring, was that from the glass or? No, I see they were driving the safe so that's why they crashed. What kind of? Flooring the glasses, it's too hard work and the glass is all broken. So you have now. Glass, all the door needs to be replaced. OK. Have you had anyone come out yet to give you an estimate or take? A look at it. Yeah, we did have one from on this thing and then one. Command you can do something and. Yes, I understand that came and he quoted, he said the whole thing has to be replaced and then he quoted as an amount of AT&amp;T. OK. And is it just you and your wife that live there? Does anyone else out there with you? My good nine year, she's nine years old. We had another two. She just went to UCLA. That's what she was doing in the business. Gotcha. OK. Yeah, sorry I had to come home to that. Yeah. OK. And the floor, like how many rooms would you say it's damaged? In the living room, No, it's the mostly the living room and then and the find out the size, the damage that I could basically, you know, they are dragging the space and that's how they scratch the floor in the living room. And then somehow then I think maybe two or three people were lifted and then they went to the tile and then they scratched the tile. OK, I. Think the tires is a small area. When we did the tires we actually did the tiles a year ago it was like 3000 to 3000 something and the four floor, let me get it back there. It was like 2000 something. But the floor might be just I don't know if someone can do something. OK, if possible OK. And as far as what was stolen, was it, was it mainly just jewelry or anything else you've noticed missing? And so far we just noticed because like it's hard for me to describe this because this was like jewelry and 2025 years ago from my age and all of that. So it's going to do scarred gold and everything, but I don't know how to do the model and all that because it's a long time ago. Mostly from half of it was mostly inherited from generation kind of thing. OK. Do you have like just kind of a general amount of what you think was taken jewelry wise? Because it was all 22,000. Again, I'm just. And then this is the first time the gold price today and all that this is. But again I don't have any scientific way to prove it because it is all from the grandma. Right, OK. Did you ever talk to your agent about any coverage for jewelry? Yeah, we did talk to her, she said. Or something. That's what she said. Did we talk to our agent about the coverage? She didn't know much. Or something, I don't know what that. OK. So, yeah, so I don't see any like special jewelry coverage that you guys have and like on just on the policy itself, the policy only covers 1000 per piece up to $2500 total for theft of jewelry. OK. Yeah, no problem. OK. I think more than the money because more the emotional thing. Right. Right. I guess you know family for like 4 generations, you know, right. Sorry. OK. Well, as far as the other coverage on your policy, do you have the 5000 deductible? So that just gets subtracted before any kind of payment would be issued. Anytime we go over the limit on something, we can use that to go towards your deductible though. So if you guys could put together like some kind of somewhat of an itemized list of the jewelry just so we can kind of price that out. And then, you know, get you what we can for the jewelry and then obviously if it goes over that limit. Then we would just apply it to the deductible for you. I mean, the limit is 2500, right? Right. OK, yeah, that is like just one 2-3. So yeah, I know. And I'm sorry, I hate to have you do that just with the low limit, but if you guys could just kind of put something together so at least maybe we can, you know, absorb what we can for you on the deductible. Yeah, no problem. And then as far as the damage is to go ahead. Anyway, go on and then I'll I'll ask you how to take it out together. OK, umm, so as far as the damages to the home, we don't usually send out like a umm, you know, like a local adjuster. Usually we handle it over the phone. Umm Based on the damages though, I don't know that it it might not be a bad idea to get someone out there to take a look at it just because of the floor. Umm, you know, just because that would be hard to estimate for just over the phone. Umm, I can we, we do have the ability to do like a virtual inspection. It's kind of like FaceTime, but it's through a system that we use on our computer. Umm, is that something that you guys would be able to do? Just so I can take a look at it first and then figure out if we need to get someone out there locally? You mean have to download these apps, right? Yeah. So it's it's basically just like a link you click on for a website. OK, umm, But you join the order. Yeah. Umm, no problem. And we and we can do it now if you want or if you want to set.  We can do that if you send me the link on a text. Yeah, let me. OK, let me get in there one second. Yeah, from what from a couple of folks you've talked to, they said you have to replace the door because it's hard to just be the glass. So that is great. And that's usually what we do anyways, especially. Anytime that there's. Glass broken. So yeah, that's that. Definitely seems reasonable. OK, I'm gonna send you the invite. Do you want me to text it can either. OK, let me. OK, OK, so I just sent it so it should come through. Sometimes it doesn't let you accept all of the access or allow all the access while you're already on a call and we actually don't need. To be on the. Phone will be connected. No, that's OK What I'll do because we'll actually get connected once you are logged in, it'll connect you through your phone and my computer. So we don't actually need to be on a phone call. I'll actually I'll be able to hear you through the the program. So I'll go ahead and did you get the text already? Yeah, I did OK. So. If you want to try and do it and then. If not, I'll. Let you go on the phone and then, umm, let you set it up and we can. Microphone exchange location experience. Can you hear me now? I can, I can. I'm on now. OK. OK. Thank you. Yeah. You're not able to see. I still thank you so much. You know one option is to do through the laptop, yeah? It might work better if we're not on the phone 'cause sometimes I know that gives people trouble if you're already on a call. Umm, so why don't I let you go? You want to send the link to my other phone? Then I can just try that. I can give you the number OK? One second, let me end this one. So you can keep talking on this phone and I'll use the other phone. That's fine, yeah. OK, what's the other one? 650 OK. 999 OK. 1315OK. I'm going to wait for that one. OK, I just sent it. Retry on this phone. Can you see it? I I'm on now. Yes, yes, yes, I can see it. Umm, OK. OK, I'm gonna turn that recording on and make sure if you just wanna hold it there, you. See the door boarded up? Yes, yeah. Yeah, so that's the one that broke in. And what the people who came in said, like you have to replace this whole thing. This is a palado and it has like 3 things. So they are trying to replace the whole thing that's only that can be done. OK, OK. And we talked to the last guys, they said they can't do it right, right. OK, OK. So it seems like this whole thing has to be replaced. And you got a quote from Anderson, right? It is like whatever they are, that's the quote we have right now. We are thinking of calling the fellow guys as well because the door is color but it will be around that. OK. Yeah, that probably might be a good. Idea since it's already that early and. OK, now let me show you the floor damage. This is the place where the dragged everything, the sales and all, I don't know, we can see it, right? Yeah, I can. And then, you know, all the way they kept dragging, dragging. This is all crap. This is all crap. But then the biggest one is the most serious. 1 is this one. This is your. This is where they ripped it. Yes, OK. Because they were driving the food out. And then and then the and then they locate here. And these are minimal but. The dentist. It's like we're driving the whole thing. OK. Yeah, yeah. Yeah. This is all grand. Right. Yeah. So that is the name damage. OK, OK. OK, Anything else that you've noticed at all? Not, no, Nothing like that. OK. OK. I'll go ahead and disconnect. On the virtual inspection here. OK, can you hear me still? Yeah. OK. OK, But yeah, if you want to get it, might not hurt to get Pella out to take a look at it just since it is like a pillow bringing the door. Yeah. So we we have an appointment with them. So we will talk to that fella. I understand you already have and then you know, I think. We are very cheaper, OK. Why? How? Does this work? Like how does it work? Like I'll figure out all the people and then you just clean this or you can also. So we don't actually send anyone out. So it's really just whoever you guys want to use to do the work. Umm, I will let me umm, because I know our, our like our local inspections are still kind of limited, just, you know, with COVID and everything. Umm, so let me see. Would be good to get someone like one of our more local adjusters out there to take a look at it as far as like the damage to the flooring, umm, just for like measurements. You know, and things like that that we just can't really do over the phone, unfortunately. Umm, so let me, let me see if we need to get someone out on that part of it. Umm, but yeah, on the door. Just if you want to get some estimates, that would be great. Umm, and then we'll just kind of go from there on that. We want to get started soon because we don't have to leave like for a long time. So yeah, connected and as soon as we just let's say we get an estimate, we I think it's stellar and I understand pretty much those are the 2 door companies unless they give the cheaper one the job and then we can go with that. We pay them and then we reimburse and that I can do it. Yeah. So we would actually pay you as a policyholder and then you would just pay the you. Know the the door company yeah, OK, OK, maybe I have to do some paperwork for that or. Not really. So if you just want to let me know or send in like the quotes that you get on the door, just we have those on file and then just out list of jewelry just so we can kind of put together an estimate on that part of it. Umm, did they actually take? Safe or do you still have it? No, this is the safe and I'll contact the because there's a data breach on the face, right? But we didn't know any code what it says. We didn't put anything in the code. So you don't have anything to do with the code. But I was just hoping like I can inform the same company, but no one knows, right? I have no idea what to. OK. Did you guys have anything else in there besides jewelry or was it mainly just your jewelry? No, they did jewelry and. OK. It is not in the state actually, it was, you know, very nice secretive place. I don't know how they found that, right, right, Because I because I heard a lot of people and I think there is been this and all. One of my friend also got involved in that like in March and they said the 5th. So we just took out, we didn't put anything in the face. We put it in a secret place that they still found it. Like I have no idea how to right. I'm sorry. Yeah, that's frustrating. But this, we didn't have anything in the case, but they took over the OK. I mean, I, I, I think that's fine that you can. Do you want to include the details on the safe, like on the list with the jewelry? We can definitely include that. On the list as well. So I'll send you a list of the jewelery, Yeah. So if I send you a list of the billing, is that? What you said, yeah, yeah. And just it doesn't have to be like super, you know, super detailed, but just so we have somewhat of an itemization just to be able to put together an estimate on that part of it. And then like I said, absorb, you know, that deductible obviously if we need to. Yeah, I can do. I can do that. I I could just see you back, right? I'll, I'll, I'll send you an e-mail. I. Guess either or umm, and I can send you umm, I have your e-mail here so I can send you one and then you can just reply back to me if that's easier. Umm, just so you have it and you have my information and then umm, yeah, just if, if anything else comes up, feel free to call or text or e-mail, whatever is easiest for you. Umm, I do work central time, so just as a heads up, I'm just a couple hours. Ahead of you, but I'm usually here till about 30-30 or four or so central. No problem. So we just I'll wait for your e-mail and we'll give you details and. Get going and figure out another code and then we are very simple to give them the jobs because it's a lead time as you said. And of course, I mean as you explained, you will tell me and I'll pay the billing and you send someone local to take a look. Yeah, I'll take a look at that to see if. It would be. I'm thinking it might be best just to get one of our local adjusters to come out, but. Let me take a look at that and see what the availability is and then I'll let you know. OK. Any other questions right now? No, thank you. Thanks a lot for your assistance and yeah, we'll get there. Uh, my pleasure. Thank you. Yeah, thank you. I'm so. Sorry that this happened, but we'll do what we can for you. And if, if there's anything else I can do or uh, answer for you, just let me know, OK? Yeah, sure. Sure. Thank you. Thank you. Alright, I will send you an e-mail here shortly and then just let me know if you have any questions, OK? Yeah, thank you. Alright, thank you. Take care. Talk to you soon. Bye bye. </t>
  </si>
  <si>
    <t>" Hello. Hi, this is Lauren, calling with Farmers Insurance. How are you? I'm doing well. I was giving you a call about the claim. Is now a good time? Yeah, it's a good time. Okay, perfect. And just before we continue, I do need to let you know that all my calls are recorded, is that all right? Okay, thank you. So let me just confirm a few things with you here first. details. We have that this happened on October 2nd. Is that right? Thank you. We will be out Friday, Saturday. It came back on Sunday and we saw that it was there. So when you have to say when it got done between Friday, Saturday Sunday. So it's my best question is next to next. Okay. Yeah, we left from Friday 4 and we came on Sunday 9 and then we entered the house. So somewhere around that season, he was very popular. Okay. Friday in the afternoon, 4 p.m. Yeah. Okay. And Sunday, uh, p.m. as well 9 PM. 9 PM. Yeah. I mean I will be called the cops for 9 at you. Okay. Okay. Okay. And I have your address is 113871 D place? That's correct. Okay. And did the police respond? Do they come out or do they just do it over the phone? Okay. Do they come out or do they just do over the phone? They were like six for a time time. They were like not to get in the house because they went to the church, and the other, of course, no one was there. And then they were in the house. Okay. Any suspects or did they mention anything about any other break-ins in the area? They are saying there a whole bunch of things happening recently. I think there's an international game, they look across the board and all of that. Right. So I don't know that I think they are saying that we can include activity by this international them from the state. Okay. Okay. Something so they're not, they look, they're like that. Okay. Okay. And what about any damage to the home or do you know how they got in? They broke the glass and then they also damaged the floors. They also took away the truth. Okay, and the glass, which door was that? The front door, the back door, the family was back, family room, back door. look at all right, so those are the claims that compromise. Okay, I'm sorry to hear that. Okay, and you said damage to the flooring, was that from the glass or? No, I see they were grabbing the face, so that's why it was crushed. two hard works and the glasses are broken so we have now boarded it up. Okay. And that bowl, glass, all the door needs to be replaced too. Okay. Have you had anyone come out yet to give you an estimate or take a look at it? Yeah, we did have folks. We have one from Anderson. And then one other color is a la. Yeah, so the Anderson ball came and he said he quoted the he said the whole king has to be replaced and then he quoted an amount of 18. Okay. She was going to use really. That's what he was doing. Gotcha. Okay. No. Sorry, I had to come home to that. Yeah. Yeah. Okay. And the floor, like how many rooms would you say it's damaged? And the floor, like how many rooms would you say it's the image? The floor is the room room. It's the most of the living room and then in the find that the size, the damage that actually basically, you know, they are dragging the stairs and that's how they scratch the floor in the living room and then somehow then I can, I think, maybe. two of the three people were little lifted and then they went to the trial and then they scrapped the time. Okay. I think the tires are a small area. When we did the tires, we actually did the tires a year ago, it was like 3,000 to 4,000 something. And the floor, when we did it back there, it was like 3,000, it was like 3,000. Okay. Okay. And as far as what was stolen, was it mainly just jewelry or anything else you've noticed missing? So far, we just noticed surely. This was like, I thought to describe this because this was like really to describe this because this was like really and 20 years ago from marriage in on a back. So it's 22, carried gold and everything, but then I don't know how to use the model and all that because it takes you a lifetime. And mostly, half of it was nothing, you were American. generation. Okay. Do you have like just kind of a general amount of what you think was taken, jewelry wise? Oh, I mean, German would be because it was all 10 people, go past from the invasion, it could be easily 60% detail. this is just a great price to the one all that's like this is a attachment. Okay. I don't have any scientifically to prove it according to the law. From the blind mouth from the US TA. Right. Okay. Did you ever talk to your agent about any coverage for jury? Right. Do we talk to a lot about the G. I don't know much because, when I see, you could see the product, you could create or something. I don't know what that. Okay, so yeah, so I don't see any like special jewelry coverage that you guys have and like on just on the policy itself the policy only covers 1,000 per piece up to $2,500 total for substance jewelry. Okay. I think more than the money, more than most making. Right, right, I guess that. You know, our family for like four generations. Right. I'm sorry. Okay, well, as far as the other coverage on your policy, so you have the 5,000 deductible, so that just gets subtracted before any kind of payment would be issued. over the limit on something we can use that to go towards your deductible though so if you guys could put together like some kind of somewhat of an itemized list of the jewelry just so we can kind of price that out and then you know get you what we can for the jewelry and then obviously if it goes over that limit then we would just apply it to the deductible for you Right, right. But yeah, I know and I'm sorry I hate to have you do that just with the low limit but if you guys could just kind of put something together so at least maybe we can you know absorb what we can for you on the deductible. Yeah, okay, and then as far as the damage is to, go ahead. Go ahead. the damages to go ahead I just say the public really so you need it right anyway go on then you know I'm ask you how to take it on the damages to the home we don't usually send out like a you know like a local adjuster usually we handle it over the phone. of the floor, you know, just because that would be hard to estimate for just over the phone. I can, we do have the ability to do like a virtual inspection. It's kind of like face time, but it's through a system that we use on our computer. Is that something that you guys would be able to do just so I can take a look at it first and then figure out if we need to get someone out there locally? So it's basically just like a link you click on for our website that you join or. Yeah. No problem. And we can do it now if you want it or if you want to set up a time another time we can do that. Yeah, let me. Okay, let me get in there one second. to just do the glass. Right. And that's usually what we do anyways, especially any type of third glass broken. So yeah, that definitely seems reasonable. Okay. So I'm going to send you the invite. Do you want me to text? It can either... Yeah, I can't check. Okay. Okay. Okay, so I just sent it so it should come through. Sometimes it doesn't let you accept all of the access while you're already on a call, and we actually don't need to be on the phone and we'll be connected. Do you know, should I give you another number? No, that's okay. What I'll do, because we'll actually get connected once you are logged in, it'll connect you through your phone and my computer. So we don't actually need to be on a phone call. I'll actually, I'll be able to hear you through the program. So I'll go ahead and, um, did you get the text already? Yeah, I did. Okay. So if you want to try and do it and then if not, I'll let you go on the phone, the microphone of the excuse for the next day, I agree, continue, again, except, except, okay, okay, okay, okay, okay, okay, okay, and it's, I can, I'm on now, okay, okay, okay, okay, Okay, I can see you know. I can, I can, I'm on now. Okay. Okay. Okay, I'm going to, I think, yeah, I can't hear you. to do it through the last call. The meeting on right side, no? It might work better if we're not on the phone, because sometimes I know that gives people trouble if you're already on a call. So why don't I let you go? You want to send the link to my other phone, then I can just try that one. I can give you the number. Okay, one second, let me end to this one. So we can keep talking on this phone and I'll use the other phone to connect. Yeah. Okay, what's the other one? It's 5. Okay. 999. Okay. Okay. 1. Okay. Okay......... Okay. I just said it. I'm not going to see. Maybe. I'm not going to be in the coffee. I see it. I see it. Okay, now I'm sorry. Let me try on this phone. Yes, I can see it. Okay, I'm going to take a picture if you just want to fold it there. You see the door border up? Yes, yeah. Yeah, so that's the one that broke in. Like, and what the people who came and said like, you have to replace this whole thing. This is a fellow do and it has like three changes, it's very hard time. And it's something like, you can't... I think that's can be done. Okay, okay. We talked to the glass guys, they said they can't do. Right, right. Okay, okay. Okay, so, seeing that the whole thing have to be replaced.. Right, like you think, that's what they were and they got. code we have right now. I think we are calling the fella guys as well, because the door is color. But it would be around that. Okay, yeah, that probably might be a good idea since it's already about the end. Okay, now let me show you the floor then. Yeah, I can't gouge it. And then, you know, all the way, they kept dragging, then here, see that all people. This is all scratch, you see that kind, but then the biggest one is the most serious one is this one here. This is where they're hit it, it's here. And then the, the, okay, it's here. Okay, here. Okay, I would be my name, but the then, there's been working on the site, there, so it's like we're driving the motion. There, I'm on the time, vote, same thing, but yeah, I think on the phone, okay, I'm going to see, yeah... Yeah, yeah, I'll go ahead. Yeah, I'll go and get a grant. Right. Yeah, so that is the name damage. Okay, okay. Okay. Okay. Anything else that you've noticed at all? on the virtual inspection here. Okay, can you hear me, Phil? Yeah, okay. Okay. Okay. But yeah, if you want to get, it might not hurt to get Pella out to take a look at it just since it is like a Pella Brandy Door. have. Okay. Okay. Okay. Okay. Okay. Why I appreciate you doing that? How does it work like, I figure out all the people and then you just leave it or you and your folks from there do work? So we don't actually send anyone out, so it's really just whoever you guys want to use to do the work. I will, let me, um, because I know, um, I know, let me, um, um, because I know, our local inspections are still kind of limited just you know with COVID and everything. So let me see it would be good to get someone like one of our more local adjusters out there to take a look at it as far as like the damage to the flooring just for like measurements, you know, and things like that that we just can't really do over the phone unfortunately. So let me see if we need to get someone out on that part of it. that would be great and then we'll just kind of go from there on that. Yeah the door people also like a long release kind of four months so we want to get started soon because we don't want to do the right in a long time. Yeah. I think it's Stella and I think it's pretty much they were the door companies and let's say we did the cheaper one the job and then we just go with that we pay them and then you leave that we'll let I think you work Yeah, so we would actually pay you as a policyholder and then you would just pay the, you know, the door company. Yeah. Okay. Do I have to do some people with that or? Not really. So if you just want to let me know or send in like the quotes that you get on the door, just we have those on file. And then just that list of jewelry just so we can kind of put together an estimate on that part of it. of it. Did they actually take the safe or do you still have it? No, because the first and I contacted the previous one or if you have, because there's a data breach on the safe, right, but we didn't know any code for the safe, we didn't put anything in the safe, so you don't have anything to do with the safe, but I was just hoping like I can inform the safe company, but no one knows.. Did you guys have anything else in there besides Drury or was it mainly just your jory? No, they were very nice secretive, I don't know how to find that. Right. Right. Because I've heard a lot of people, I think there is being this deadly in the area. Especially his bureau and all, one of my friends also got involved in that like in March, and they take the faith. So we just took out, we didn't put out, we didn't put anything in the faith. the case down there on the day. Like I have no idea how to call that. I'm sorry. Yeah, that's frustrating. But if we didn't have anything in the case, but they took over the list as well. I mean, I think that's fine and you can have. Yeah, and if you want to include the details on the face, like on the list with the jewelry, we can definitely include that. Okay, I can the list of the jury, we can the list of the jury, we, we can definitely include that on the list as well. Okay. Yeah, if you guys want to work on that. Yeah, so do you list of the building? Yeah, yeah. And just, it doesn't have to be like super, you know, super detail, but just so we have somewhat of an itemization just to be able to put together an estimate on that part of it. And then, like I said, absorb, you know, that deductible obviously if we need to. I can just see you that right or send you email I guess either or and I can send you you I have your email here so I can send you one and then you can just reply back to me if that's easier just seeing habit and you have my information and then yeah just if anything else comes up feel free to call or text or email whatever is easiest for you I do work central time so just as a hug up I'm just a couple hours ahead of you but I'm usually here until about 3 30 or 4 or so Central. No problem. Okay. So that's to, I'll get from your email and really give me details on the jury and I'm free. We do have the door stuff and get going and figure out another court and then they're ready speakers, they'll give them the job because it's a lead coin, as you said, and of course, I mean, as you're a attorney and a attorney and I'll, you send someone, you'll send someone local, you take a letter. it might be best just to get one of our local adjusters that come out but let me take a look at that and see what the availability is and then I'll let you know. I'll find any other questions right now? No, thank you. My pleasure. Thank you. I'm so sorry that this happened but we'll do what we can for you. And if there's anything else I can do or... answer for you just let me know okay all right I will send you an email heart shortly and then just let me know if you have any questions okay yeah all right thank you take care talk to you too"</t>
  </si>
  <si>
    <t>" hello hi this is lauren calling with farmers insurance how are you i'm doing well i was giving you a call about the claim is now a good time yeah it's a good time okay perfect and just before we continue i do need to let you know that all my calls are recorded is that all right okay okay thank you so let me just confirm a few things with you here first and i'll have you kind of give me some details. We have that this happened on October 2nd, is that right? Thank you. We were out Friday, Saturday. We came back on Sunday and we saw that it was there. So, we have to say when it got done between Friday, Saturday, Sunday. So, it's our best question is next to me okay all right and i have your address is one one yeah we left on friday four and we came on sunday nine and then when we entered the house Okay. Friday in the afternoon, 4 p.m.? Yes. Okay. And Sunday, p.m. as well, 9 p.m.? Yeah. Okay. Okay. Okay. And I have your address is 113871D Place? That's correct. Okay. That's correct. Okay. All right. And did the police respond? Did they come out or did they just do it over the phone? No, they were like people saying they told us not to get in the house because they wanted to be trusted. Of course, no one was there. Okay. Any suspects or did they mention anything about any other break-ins in the area? They are saying there are a whole bunch of things happening recently. I think there's an international gang doing this across the board and all of that. Right. So I don't know. I think they are saying that there's an increased activity by this international gang from, Okay. So they might…they told us it's a significant kind of look like that. Okay. Okay. And what about any damage to the home or do you know how they got in? They broke the glass and then they also damaged the floors. They also took away the food. Okay, and the glass, which door was that? The front door. The back door, the family room back door. And they also took away all our buildings. So those are the things that compromised. Okay. I'm sorry to hear that. And you said damage to the fluorine, was that from the glass or? No, they were dragging the face, so that's why it was crushed. Okay. What kind of fluorine is that? The glass is all broken, so we have now bolted it up. Okay. And that door, glass, all the door needs to be replaced. Okay. Have you had anyone come out yet to give you an estimate or take a look at it? Yeah, we did have one from Anderson. And then one other . Yeah, so the Anderson guy came and he quoted, he said the whole thing has to be replaced replaced and then we quoted as an amount of 18 too. Okay. And is it just you and your wife that live there? Does anyone else live there with you? My kid, she's nine years old, we had an university, she just went to UCLA. Gotcha. Okay. Sorry, I had to come home to that. The floor, how many rooms would you say it's damaged? I think floor is mostly the living room. No, it's mostly the living room. And then in the front of the tiles, they damage the tiles. So basically, they are dragging the safe, and that's how they scratch the floor in the living room. And then somehow, then I think maybe two or three people are able to lift it, and then they run to the tile, and then they scratch the tile. OK. I think the tiles are a small area. So when we did the tiles, we actually did the tiles a year ago, it was like 3,000 to 4,000 something, I think. And the floor, when we did it back there, it was like 3,000 something. But the floor might be just, I don't know, if someone can do something. Okay. It's possible. Okay. And as far as what was stolen, was it mainly just jewelry or anything else you've noticed Naseen? So far we just noticed jewelry. This was like, it's hard for me to describe this because this was like jewelry from 20, 25 years ago from our age in our back. So it's 22 karat gold and everything, but again, I don't know how to read the model and all that because it's just a long time ago. And mostly some, half of it was mostly inheritance, generation kind of thing. Okay. Do you have, like, just kind of a general amount of what you think was taken, jewelry-wise? Oh, I mean, jewelry would be, because it was all 22, that it would go fast from the I don't have any scientific way to prove it because it is all from the blind mind from USDA. Right. Okay. Did you ever talk to your agent about any coverage for jewelry? Yeah, we did talk to her. She said they put it as clothes or something. That's what she said. Did we talk to her agent about the jewelry coverage? She didn't know much because she was a girl or something. I don't know what that is. Okay. So, yeah, so I don't see any, like, special jewelry coverage that you guys have. And, like, just on the policy itself, the policy only covers $1,000 per piece up to hundred dollars total for theft of jewelry. Okay. I think more than the money is more the emotional thing right right I get that you know our family for like four generations right I'm sorry okay well as far as the other coverage on your policy so you have the 5,000 deductible so that just gets subtracted before any kind of payment would be issued anytime we go over the limit on something we can use that to go towards your deductible though so if you guys could put together like some kind of somewhat of an itemized list of the jewelry just so we can kind of price that out and then you know get you what we can for the jewelry and then obviously if it goes over that limit then we would just apply it to the deductible for you so you mean the limit is two thousand times on the right right right okay yeah that is like this one right right but yeah i know and i'm sorry i hate to have you do that just with the low limit but if you guys could just kind of put something together so at least maybe we can you know absorb what we can for you on the deductible um yeah okay and then as far as the damages took go ahead yeah yeah Anyway, go on, and I'll ask you how to take it out together. Okay. So as far as the damages to the home, we don't usually send out like a local adjuster. Usually we handle it over the phone. Based on the damages, though, I don't know that it might not be a bad idea to get someone out there to take a look at it just because of the floor. You know, just because that would be hard to estimate for just over the phone. I can, we do have the ability to do like a virtual inspection. It's kind of like FaceTime, but it's through a system that we use on our computer. Is that something that you guys would be able to do just so I can take a look at it first and then figure out if we need to get someone out there locally? You mean have to download these apps, right? Yeah, so it's basically just like a link you click on for a website that you join or... Yeah, and we can do it now if you want or if you want to set up a time, another time, we can do that. No, we can do it now. If you can do the link on the text, I can do it. Yeah, let me…okay, let me get in there one second. Yeah, from what…from a couple of folks you've talked to, they said you have to replace the board because it's hard to just do the class. Right. And that's usually what we do anyways, especially any time that there's glass broken. So yeah, that's definitely reasonable. Okay. I'm going to send you the invite. Do you want me to text? Yeah, you can text me, then I can just text you there. Okay. Let me try. Okay. Okay. Okay. So, I just sent it, so it should come through. Sometimes it doesn't let you accept all of the access or allow all the access while you're already on a call. And we actually don't need to be on the phone. We'll be connected to you. Should I give you another number? No, that's okay. What I'll do, because we'll actually get connected, once you are logged in, it'll connect you through your phone and my computer, so we don't actually need to be on a phone call. I'll be able to hear you through the program. So I'll go ahead and, did you get the text already? Yeah, I did. Okay. So if you want to try and do it, and then if not, I'll let you go on the phone and then let you set it up. I can I can I'm on now. Okay. Okay. I'm still trying to connect. Yeah. You're not there basically. I still can connect. One option is to do to the last call. It might work better if we're not on the phone, because sometimes I know that gives people trouble if you're already on the call. So why don't I let you go? You want to send the link to my other phone? Then I can just try that one. I can give you the number. Okay, one second. Let me end this one. So we can keep talking on this phone and I'll use other phones to connect. That's fine. Yeah. Okay. What's the other one? 650-999-1315. Okay. I'm going to wait for that call. Okay. I just sent it. Okay, now it's out. Let me try on this phone. Okay, so I'm on the other phone, it's time to connect. Can you see it? I'm on now. Yes. Yes, I can see it. So this is the other one. I'm just going to turn the recording on. Okay, so I'm on the other phone. Can you see it? I'm on now. Yes. Yes, I can see it. So this is the other one. I'm going to take a picture if you just want to hold it there. You see the door boarded up? Yes. Yeah. So that's the one that broke in. And what the people who came in said, like, you have to replace this whole thing. This is a fellow door and it has, like, three things. Okay. Okay. Okay. Okay. Okay. Okay. Okay. Okay. Okay. Okay. Okay. Okay. Okay. Okay. Okay. Okay. Okay. Okay. Okay. Okay. Okay. Okay. Okay. Okay. Okay. Okay. Okay. Okay. Okay. We can press whatever they are. Something like that. That's the quote we have right now. We are thinking of calling the seller guys as well because the door is seller. But it will be around that. Okay. Yeah, that probably might be a good idea since it's already in the branch. Okay, now let me show you the floor then. This is the place where they dragged everything, the face and on. Oh, okay. Yeah, I can. Gouges. And then, you know, all the way, they kept dragging, dragging. And then here, see, like, all these things. This is all scratched, this is all cracked. But then the biggest one is, the most serious one is this one, yeah. And this is where they ripped it, ripped it, yeah. Okay. Because they are dragging the fish out. And then they drop it here. Okay. And these are minor, but the density of the water is also, so it's like we're dragging the water. Okay. Yeah. Yeah. Right. Yeah. Okay, okay. Anything else that you've noticed at all? Nothing. Nothing right. Okay. I'll go ahead and just connect on the virtual inspection here. Okay. Okay. Can you hear me still? Yeah, okay. Okay. Okay. Yeah, okay. Okay. Okay. But yeah, if you want to get… it might not hurt to get Pella out to take a look at it just since it is like a Pella branded door. Yeah, so we have already been a contact with them, so we will talk to both Pella. Anderson we already have. Okay. And then I think… Okay. Okay. How does it work? Like, I figure out all the people, and then you just remove it, or you and your folks, when they do it? So we don't actually send anyone out, so it's really just whoever you guys want to use to do the work. I will, let me, because I know our, like, our local inspections are still kind of limited, just you know with COVID and everything um so let me see it would be good to get someone like one of our more local adjusters out there to take a look at it as far as like the damage to the flooring um just for like measurements you know and things like that that we just can't really do over the phone unfortunately um so let me let me see if we need to get someone out on that part of it um but yeah on the door just if you want to get some estimates that would be great um and then we'll just kind of go from there on that. Yeah, but those people also said there's like a long leave time of four months, so we want to get started soon because we don't want to leave that leave for a long time. Right, yeah. So let's say we take an estimate. Let's say we get an estimate. I think it's Stella and Anderson pretty much. They're ready to do our companies. And let's say we give the cheaper one the job, and then we just go with that, we pay them, and then we reimburse. Is that how it can work? Yeah, so we would actually pay you as the policyholder, and then you would just pay the door company. Okay. So do I have to do some people work for that? Not really. So if you just want to let me know or send in the quotes that you get on the door, we have those on file, and then just that list of jewelry, just so we can kind of put together an estimate on that part of it. Did they actually take the safe or do you still have it? No, they took the safe and I contacted the previous MRAC because there's a data breach on the safe, right, but we didn't know any codes for the safe. We didn't put anything in the safe, so we don't have anything to do with the safe, but I was just hoping I can inform the safe company, but no one knows. Right. I have no idea what to do with it. Okay. Did you guys have anything else in there besides jewelry or was it mainly just your jewelry? No, it was just jewelry. It was not in the safe, actually. It was in a very nice secretive place. I don't know how to find that. Right. Right. Because I've heard a lot of people. I think there has been this burglary in the Bay Area, especially his burr and all. in one of my friends also that I've been involved in that like in March and they saved the safe so we just took out we didn't put anything in the safe we put it in a secret place but this still sounded like I have no idea how right I'm sorry yeah that's frustrating but first uh we didn't have anything in the safe but basically I mean I I think that's fine and you can yeah and if you want to include the details on the safe like on the list with the jewelry we we can definitely include that on the list as well. Okay. So I'll send you a list of the jewelry. Yeah, if you guys want to work on that. Yeah, so can I send you a list of the jewelry? Yeah, yeah. And it doesn't have to be like super, you know, super detailed, but just so we have somewhat of an itemization just to be able to put together an estimate on that part of it. And then, like I said, absorb, you know, that deductible, obviously, if we need to. I can do that. I could just send you back, right? I'll send you an email, I guess. Either or, and I can send you, I have your email here, so I can send you one, and then you can just reply back to me if that's easier, just so you have it and you have my information. And then, yeah, if anything else comes up, feel free to call or text or email, whatever is easiest for you. I do work central time, so just as a heads up, I'm just a couple hours ahead of you. But I'm usually here until about 3.30 or 4 or so central. No problem. So I'll read from your email and read the details on the DIY area and say, go ahead with the door and get going and figure out another quote and then the DIY speaker says you've been the job because it's a lead time, as you said. And, of course, I mean, as you explained, you will tell me and I'll tell you the door. So, I'll send the clothing and tags, you send someone locally to take a look. Yeah, I'll take a look at that to see if it would be, I'm thinking it might be best just to get one of our local adjusters to come out, but let me take a look at that and see what the availability is and then I'll let you know. Okay. Any other questions right now? No, thank you. Thanks a lot for your assistance. My pleasure. Thank you. Yeah, thank you. I'm so sorry that this happened, but we'll do what we can for you. And if there's anything else I can do or answer for you, just let me know, okay? Sure, sure. Thank you. Thank you. All right. I will send you an email shortly, and then just let me know if you have any questions, okay? Yeah, thank you. All right. Thank you. Take care. Talk to you soon. Bye-bye."</t>
  </si>
  <si>
    <t>"Hi, this is Lauren calling with Farmers Insurance. How are you? I was giving you a call about the claim. Is now a good time. Okay, perfect. And just before we continue, I do need to let you know that all my calls are recorded. Is that all right? Okay, thank you. So let me just confirm a few things with you here 1st and I'll have you kind of give me some details we have. Saturday, we came back on Sunday and we saw that it was there. So when it got. Okay. And I have your address. came on Sunday nine and then when we rented the house we saw that. So somewhere around that period. Okay, Friday in the afternoon, 04:00 p.m.? Okay. and Sunday Pm as well, 09:00 p.m.. And I have your address is 113871d place. and did the police respond. did they come out or did they just do it over the phone? not to get in the house because they wanted to check if there was anyone there. Of course no one was there. Then they then they. Okay, any suspects or did they mention anything about. I don't know, like I think you're saying that it is. international. They told us that Okay. What about any damage to the home or do you know how they got in? And then they also damaged the floors. They also took away the food. door, the family room back family family room back door and they also took away all our buildings. Okay, sorry to hear that. And you said damage to the flooring, was that from the glass or? what kind of flooring the glass is and the glass is all broken. Have you had anyone come out yet to give you an estimate or take a look at it? We have one from Anderson and then one other curly seller. The Anderson guy came and he said, he quoted, he said the whole thing has to be replaced. Okay. Gotcha. Okay. Sorry, you had to come home to that. and the floor Like how many rooms would you say it's damaged? It's the nest in the living room. And then find out the tiles. they damage the tire basically, you know, they are dragging the space. And that's how they scratch the floor in the living room. And then somehow, then I think maybe two or three people lift it and then. to the tile and then they scratch the tile. I think the tires, it's a small area tire. When we did the. tiles. We actually did the tiles year ago like 3000 to 4000 something I think and the four. floor when you did it back then it was actually called you something, but the floor might be just, I don't know if someone can do something about it. and as far as What was stolen? Was it was it mainly just jewelry or anything else you've noticed missing? This was like, it's hard for me to describe this because this was like jewelry. five years ago from marriage and all of that. So it's 22 carat gold and. But again, I don't know how to model and all that because it takes long time. Okay. Do you have like just kind of a general amount of. you think was taken jewelry wise? Oh, I mean jewelry. jewelry was usually because it was all complicated. Go. from generation it will be easily 60 to 70. Again, I'm just. But again, I don't have any. scientific way to prove it because it is all from the grandma from years to. Right. Okay. Um, did you ever talk to your agent about any coverage for jewelry? We did talk to her. She said the footage of something. That's what she said. Did you talk to our agent about the coverage? She didn't know much. I don't know what that. Okay, so yeah, so I don't see any like special jewelry coverage that you guys have. And like on just on the policy itself, the policy only covers 1000 per. piece up to $2500 total for theft of jewelry. Yeah, okay. more than the money cause more than more smoking. Right. right. I guess in our family for like for. Okay, well. the other coverage on your policy. So you have the 5000 deductible so that just gets subtracted before any kind of payment would be. issued anytime we go over the limit on something. We can use that to go towards your deductible though. So if you guys. could put together like some kind of somewhat of an itemized list of the jewelry just so we can kind of price that out. And then, you know, get you what we can for the jewelry. and then obviously if it goes over that limit, then we would just apply it to the deductible for you. The limit is 2500. Right. Right. Okay, that is like just one. Right, right. But yeah, I know and I'm sorry, I hate to have you do that just with the low limit, but if you guys could just. kind of put something together so at least maybe we can, you know, absorb what we can for you on the deductible. And then as far as the damages to go ahead, yeah, go ahead. I just say the culture. Okay, so as far as the damages to the home. We don't usually send out like a, you know, like a local adjuster. Usually we handle it over the phone. based on the damages though I don't know that it it might not be a bad idea to get someone out there to take a look at it just because of the floor You know, just 'cause that would be hard to estimate for just over the phone. I can't. We do have the ability to do like a virtual inspection. It's kind of like Facetime, but it's through a system that we use on our computer. Is that something that you guys would be able to do just so I can take a look at it 1st and then figure out if we need to get someone out there locally? Yeah, so it's it's basically just like a link you click on. for a website that you join or we can do it now if you want. from a couple of folks we have Right. And that's usually what we do. ways especially any time that there's glass broken. So yeah, that that definitely seems reasonable. Okay. I'm going to send you the invite. Do you want me to text it? Can either. Okay, let me make sure. Okay. Okay, so I just sent it so it should come through. Sometimes it doesn't let you accept all of the access or allow all the access. while you're already on a call and we actually don't need to be on the phone, we'll be connecting. No, that's okay. what I'll do, cause we'll actually get connected. Once you are logged in, it'll connect you through. your phone and my computer so we don't actually need to be on a phone call. I'll be able to hear you through the program. So I'll go ahead. And did you get the text already? So do you want to try and do it? And then if not, I'll let you go on the phone and then. microphone experts, location expert. Can you see me now? I can. Okay. Yeah. You're not able to write two. Thank you so much. One option is. to do through the laptop. might work better if we're not on the phone because sometimes I know that gives people trouble if you're already on a call. So why don't I? You want to send the link to my other phone, then I can just try that. I can give you the number. That's fine. Yeah. Okay. What's the other 1650? 9991315. Okay, I just. Okay, now it's alright. Let me try on this phone. Okay, so I'm on the other phone. It's trying to connect. Can you see it? Yes, yes, I can see it. Yes, yeah, yeah. so that's the one they broke in like, and what the people who came in said like. have to replace this whole thing. This is a Pallard door and it has thin paint so it's very hard. It seems like this whole thing has to be replaced and you got it. quote from Anderson, they said whatever we are thinking of calling the because Yeah, that probably might be a good idea since it's already. Okay, now let me show you the floor damage. This is the place where they dragged everything, the safe and all. I don't know, you can see it, but yeah, I can gouge it. And then, you know, all the way they just kept going. This is all scratch. This is all scratch, but. And the biggest one is the most serious one is this one here. This is where they hit it. because they were dragging the food out. These are minor, but then it's like. Yeah. anything else that you have? Okay, okay, go ahead and. disconnect on the on the virtual instruction here. Okay, can you hear me still? Yeah. Okay. But yeah, if you wanna get, it might not hurt to get Pella out, um, to take a look at it just since it is like a Pella branded door. Yeah, so we we have already appointed with them. So you will talk to that fellow understand you already have. Okay. So how does it work? Like, ah, how does it work? Like I figure out all the people and then you just dream this or you and your folks. So we don't actually send anyone out. So it's really just whoever you guys want to use to do the work. I will let me, um, cause I know our our like our local inspection are still kind of limited just you know with Covid and everything. Um, so let me see, would be good to get someone like one of our more. local adjusters out there to take a look at it as far as like the damage to the flooring just for like measurements, you know, and things like that that we just. really do over the phone unfortunately. So let me see if we need to get someone out on that part of it. But yeah, on the door, just if you want to get some estimates, that would be great. And then we'll just kind of go from there on that. But those people also said that like a long lead time of four, four months. So we want to get started soon because we don't want to. I think it's pretty much go by the two companies and let them give the cheaper one the job and then we just go with that. Yeah, so we would actually pay you as the policyholder. Not really. So if you just want to let me know or send in like the quotes that you get on the door. Just we have those on file and then just that list of jewelry just so we can kind of put together an estimate on that part of it. because there's a data breach on the safe. right? But we didn't know any code what they say we didn't put anything in the safe, so we don't have anything to. I was just hoping like I can inform the safe company, but no one knows. Did you guys have anything else in there besides jewelry or was it mainly just? It was not in the plate actually. It was in a very nice secretive plate. I think there is. and they take the fit. So we just. took out. we didn't put anything in the previous place, but they still found it. Like I have no idea how. Yeah, that's frustrating. The faith. Ah, we didn't have anything in the faith, but they took over the. I mean, I, I, I think that's fine. Yeah, and if you want to include the details on the safe, like on the list with the jewelry, we can definitely include that. send you a list of the Yeah, yeah, and just, it doesn't have to be like super, you know, super detailed, but just so we have some. an itemization just to be able to put together an estimate on that part of it and then like I said, absorb, you know, that deductible obviously. I could get to you back, right? I'll send you an email, I guess. Either or and I can send you, I have your email here so I can send you one and then you can just reply back. me if that's easier just so you have it and you have my information and then yeah, just if anything else comes up. Feel free to call or text or email whatever's easiest for you. I do work central time, so just as a heads up, I'm just a couple hours ahead of you. no problem. email and we'll give you details on the journey and say we go ahead with the stuff and get going and figure out another code and then. whoever it speaks to give them the jobs because it's a lead time as you said. And of course, I mean, as you explained, you returning. Yeah, I'll take a look at that to see if it would be. I'm thinking it might be best just to get one of our local adjusters to come out, but, um, let me take a look at that and see what the availability is and then I'll. Any other questions right now? No, thank you. Thanks a lot for your assistance and yeah, we get there. My pleasure. Thank you. Sorry that this happened, but. do what we can for you And if if there's anything else I can do or answer for you, just let me know. Okay. All right, I will send you an email shortly and then just let me know if you have any questions. Okay? All right, thank you. Take care. Talk to you soon. Bye bye. "</t>
  </si>
  <si>
    <t xml:space="preserve">Hi, this is Lauren calling with Farmers Insurance. How are you? I'm doing well. I was giving you a call about the claim. Is now a good time. Yeah. Okay, perfect. And just before we continue, I do need to let you know that all my calls are recorded. Is that all right? Okay, thank you. So let me just confirm a few things with you here 1st and I'll have you kind of give me some details. We have that this happened on October 2. Is that right? We were out Friday, Saturday, we came back on Sunday and we saw that it was. There. So we have to say when it got done. Between Friday, Saturday, Sunday. so it's our best estimate. Okay. Right. And I have your address as one one. We left on Friday and we came on Sunday nine. and then when we entered the house. So Okay. Friday in the afternoon, 04:00 p.m., Okay. And Sunday Pm as well, 09:00 p.m.. Okay. And I have your address is 113871d place. Yes. Okay. And did the police respond? Did they come out or did they just do it over the phone? They were like. They told us not to get in the house because they want to. Was anyone there? Of course, no one was there. Okay. Any suspects or did they mention anything about any other break ins in the area? They are saying there are a whole bunch of break things happening recently. I think there's an international brand doing it across the board and all of that. Right. So I don't know. This So they might They told us with the signature kind of look like that. Okay. What about any damage to the home or do you know how they got in? They broke the glass and then they also damaged the floors. They also took away the. The glass The back door, the family back door. And they also took away all our. So those are the things that. Compromised Okay. Sorry to hear that. And you said damage to the flooring, was that from the glass or? No, I think they were dragging the tape, so that's why they scratched. What kind of floors? And the glass is all broken. It up And that door glass door needs to be replaced. Okay, have you had anyone come out yet to give you an estimate or take a look at it? Yeah, we have. We have one from And then Them Yeah, so the Anderson guy came and he quoted, he said the whole thing has to be replaced. and he quoted as an amount of 18. Okay. And is it just you and your wife that live there? Does anyone else live there with you? My kid. She's nine years old. We had an older kid. She just went to Ucla. That's what we were doing. During the weekend. Gotcha. Okay. Sorry, you had to come home to that. And the floor, like how many rooms would you say it's damaged? It's mostly the living room and then. In front of the tis the so basically, you know, they're dragging the faces and that's how they scratch the floor in the living room and then somehow then I think maybe two or three people were able to lift it and then they went to the tile and then they scratched the I think the Ti, it's a small area. When we did the tires, we actually did the tires a year ago, it was like 2000 to 4000 something, I think. And the floor, when we did it back then, it was actually probably something, but the floor might be just, I don't know if someone can do something. It's possible And as far as what was stolen, was it, was it mainly just jewel or anything else you've noticed missing? So far This was like, it's hard for me to describe this because this was like really. Some 2025 years ago from marriage. So It's 22 karat gold and everything, but I don't know how to read the model and all that because it just takes a long time. And mostly Half of it is inherited from generations kind of thing. Okay. Do you have like just kind of a general amount of what you think was taken jewelry wise? Would be easy because it was all 20 let it go from generation it will be easily. Again, I'm just This is This is the I don't have any. Scientific way to prove it because it is from the From to Right. Okay. Did you ever talk to your agent about any coverage for jewelry? Yeah, we did talk to her. She said this could get slower for that. Did we talk to our agent about the. He didn't know much. He said, okay. So yeah, so I don't see any. Special jewelry coverage that you guys have and. Like just on the policy itself, the policy only covers. 1000 per piece up to $2500 total for theft of jewelry. Okay. I think more than the money, more than smoking. Right, right. In our family for like four generations. So Okay, well as far as the other coverage on your policy, so you have the 5000 deductible, so that just gets subtracted before any kind of payment would be issued. Anytime we go over the limit on something, we can use that to go towards your deductible though. So if you guys could put together like some kind of somewhat of an itemized list of the jewelry just so we can kind of price that out. And then, you know, get you what we can for the jewelry. and then obviously if it goes over that limit, then we would just apply it to the deductible for you. The limit is 2500. Right. Right, right. That is like just one piece is going to be right. Right. But yeah, I know, and I'm sorry, I hate to have you do that just with the low limit, but if you guys could just kind of put something together so at least maybe we can absorb what we can for you on the deductible. And then as far as the damages to. Go ahead. Yeah, go ahead. I just say so. We just like, anyway, go on and then I'll ask you how to put it all together. Okay, so as far as the damages to the home, we don't usually send out. Like a local adjuster. Usually we handle it over the phone. Based on the damages though, I don't know that it might not be a bad idea to get someone out there to take a look at it just because of the floor. You know, just because that would be hard to estimate for just over the phone. I can We do have the ability to do like a virtual inspection. It's kind of like Facetime, but it's through a system that we use on our computer. Is that something that you guys would be able to do just so I can take a look at it 1st and then figure out if we need to get someone out there locally? You have to download the app, right? Yeah, so it's basically just like a link you click on for a website. That you join Yeah. And we can do it now if you want or if you want to set up another time, we can do that. Okay, let me get in there. From a couple of folks we have talked to, they said you have to close, right? And that's usually what we do anyways, especially anytime that there's glass broken. So yeah, that definitely seems reasonable. Okay. I'm going to send you the invite. Do you want me to text? Can either. I can Okay. Okay, so I just sent it so it should come through. Sometimes it doesn't let you accept all of the. Access or allow all the access while you're already on a call. And we actually don't need to be on the phone. We'll be connected. No, that's okay what I'll do because we'll actually get connected once you are logged in, it'll connect you through your phone and my computer. so we don't actually need to be on a phone call. I'll be able to hear you through the program. So I'll go ahead and. Did you get the text already? Yeah, I did. So do you want to try and do it then? If not, I'll let you go on the phone and then. Let you set it up. Microphone I agree. Continue Can you see me now? I I I'm on now. Okay. Yeah. You know, basically I thank you so much. One option is to do it through the laptop. It might work better if we're not on the phone because sometimes I know that gives people trouble if you're already on a call. So why don't I? Let you go You want to send the link to my other phone, then I can just try that one. 1 s. Let me end this one. So we can keep talking on this phone and I use the other. That's fine. Yeah, okay. What's the other one? 650 999. 1315. I'm going, okay, I just said it. Not see it Okay. It Let me try on this phone. Oh. Okay, so I'm on the other phone. It's trying to connect. Can you see it? I'm on now. Yes. Yes, I can see it. I'm going to turn on Take a picture if you just want to hold it there. You see the door boarded up. Yes, yes, yeah. So that's the one they broke in. And what the people who came in said that you have to replace this whole thing. This is a pall and it has So they're saying if that's the only way. Be done Talk to the glass. Okay. It seems like this whole thing has to be replaced. And we got a quote from Anderson. That's the code we have right now. We're thinking of calling the color guys as well because the door is color. But it will be around that. Yeah, that probably might be a good idea since it's. Now let me show you the floor damage. This is the page where they dragged everything. Yeah, I can't gouge it. And then, you know, all day they kept dragging. This is all crap. This is all. But then the biggest one is the most serious one is this one here. This is where this is where they hit it. It Because they were dragging the food out. Here These are my The It The whole thing Yeah. Yeah. Yeah, so that is the main challenge. Okay, anything else that you've noticed at all? Okay. I'll go ahead and disconnect. On the virtual instruction here. Okay, can you hear me still? Yeah, I can. Okay. Okay. But yeah, if you want to get, it might not hurt to get Pella out. To take a look at it just since it is like a Pella branded door. So we will And we already have. and then I think. Okay. This How does it work? Like I figured out all the people and then you just doing it or you and your folks when they do it. So we don't actually send anyone out. So it's really just whoever you guys want to use to do the work. I will Let me Because I know Our local inspections are still kind of limited, just, you know, with Covid and everything. So let me see, it would be good to get someone like one of our more local adjusters out there to take a look at it as far as like the damage to the flooring just for like measurements, you know, and things like that that we just can't really do over the phone unfortunately. So Let me see if we need to get someone out on that part of it. But yeah, on the door, just if you want to get some estimates, that would be great. And then we'll just kind of go from there on there. There's like a long time of four months, so we want to get started soon because we don't want to. For a long time. So let's say Let's say I think it's Pretty much those are the two door companies unless they did the cheaper one the job. and then we just go with that, we pay them and then we re, yeah, so we would actually pay you. As the policyholder and then you would just pay. The door company Do I have to do some paperwork for that? Not really. So if you just want to let me know or send in like the quotes that you get on the door, just we have those on file and then just a list of jewelry just so we can kind of put together an estimate on that part of it. Did they actually take the safe? Or do you still have it? The Because there's a data breach on the safe, but we didn't know any code for the. we didn't put anything in the so we don't have anything to do with the 1st, but I was just hoping that I can inform the safe company, but no one knows. Okay, did you guys have anything else in there besides jewelry or was it mainly just your jewelry? Jewelry Okay. It was not the plate actually. It was in a very nice secretive plate. I don't know how they found that. I heard a lot of people. I think there has been this burglary in the area and one of my friends also got involved in that like in March and they said, this is so we just took out, we didn't put anything in the area. We put it in a sealed. I have no idea. Sorry. Yeah, that's We didn't have anything. They took away I think that's Yeah, and if you want to include the details on the safe, like on the list with the jewelry, we can definitely include that on the list as well. Yeah, if you guys want to work on that. Yeah, yeah, and just, it doesn't have to be like super. You know, super detailed, but just so we have somewhat of an item just to be able to put together an estimate on that part of it. And then, like I said, absorb that deductible. Obviously if we need to. I could get to that. I'll send you an email, I guess either or and I can send you. I have your email here so I can send you one once and then you can just reply back to me if that's easier. Just so you have it and you have my information. And then, um, yeah, just if anything else comes up, feel free to call or text or email whatever is easiest for you. I do work central time, so just as a heads up, I'm just a couple hours ahead of you, but I'm usually here until about three or four or so central. No problem. So I'll wait for your email and we'll give you details on the jewelry. And so we go ahead with the door and get going and figure out another. and then do you give them the gap because it's a lead time as you said. And of course, I mean, as you explained. You were training and tradable person and the clothing and you send someone to take a look. Yeah, I'll take a look at that to see if it would be. I'm thinking it might be best just to get one of our local adjusters to come out, but. Let me take a look at that and see what the availability is and then I'll let you know. Okay. Any other questions right now? No, thank you. Thank you a lot for your assistance and yeah, we get. My pleasure. Thank you. Thank you. So sorry that has happened, but we'll do what we can for you. And if there's anything else I can do or. Answer for you, just let me know. Okay. All right, I will send you an email shortly and then just let me know if you have any questions. Okay, Yeah. All right, thank you. Take care. Talk to you soon. Bye bye. </t>
  </si>
  <si>
    <t>Hello. Hi, this is Lauren calling with Farmers Insurance. How are you? I'm doing well. I was giving you a call about the claim. Is now a good time? Yeah, it's a good time. Okay, perfect. And just before we continue, I do need to let you know that all my calls are recorded. Is that all right? Okay. Okay, thank you. So let me just confirm a few things with you here first, and I'll have you kind of give me some details. We have that this happened on October 2nd. Is that right? We were out Friday, Saturday, we came back on Sunday and we saw that it was there. So we have to say when it got done between Friday, Saturday, Sunday. So it's all that question. Okay. All right. And I have your address. As 11 -- Yeah, he left on Friday 4, and he came on Sunday 9, and then when we entered the house, he saw that. So somewhere around that? Okay. Friday in the afternoon, 4 p.m.? Yes. Okay. And Sunday PM as well. 00 PM. Yeah. OK. OK. And I have your address as 113871D place. That's correct. OK. Alright. And did the police respond? Did they come out or did they just do it over the phone? No, they came. They told us not to get in the house because they wanted to check if there was anyone there. Okay. Any suspects or did they mention anything about any other break-ins in the area? They are saying there are a whole bunch of breaking happening recently. I think some international gang doing it. Across the board and all of that. Right. So I don't know that we are saying that we're getting feedback to the international then from. Okay. Something so they might, they told us the signature can look like that. Okay. Okay. And what about any damage to the home or do you know how they got in? They broke the glass. And then they also damaged the floors. They also took away the floor. Okay, and the glass, which door is that? The front door. The back door, the family room back, family room back door. And they also took away all our buildings. So those are the things that compromise. Okay. I'm sorry to hear that. Okay, and you said damage to the flooring? Was that from the glass or? No, I think they were dragging the face, so that's why they scratched. Okay. What kind of flooring? The glass is too hard. And the glass is all broken, so we have now. Okay. And that door, glass, all the door needs to be replaced. Okay. Have you had anyone come out yet to give you an estimate or take a look at it? Yeah, we did have four. We have one from Anderson, and then one other. Yeah, so the Anderson guy came and he quoted, he said the whole thing has to be replaced and then he quoted up an amount of 18, too. Okay. Okay. And is it just you and your wife that live there? Does anyone else live there with you? My kids. She's nine years old. She just went to UCLA. Gotcha. Okay. Sorry, I had to come home to that. Okay. And the floor, like how many rooms would you say it's damaged? No, it's the mostly the living room and then in the front of the tiles, they then have the tile. So basically, you know, they're dragging the space and that's how they scratched the floor in the living room. And then somehow then I think maybe two or three people were lifted and then they went to the tile and then they scratched the tile. Okay. I think the tiles, it's a small area. When we did the tiles, we actually did the tiles a year ago. It was like 3000 to 3000 something, I think. And the fourth floor, when we did it back there, it was like 3000 something. But the floor might be just, I don't know, if someone can do something. OK. If possible. OK. And as far as what was stolen, was it, was it mainly just jewelry or anything else you've noticed missing? So far we've just noticed jewelry. This was like, it's hard for me to describe this because this was like jewelry from 20, 25 years ago from marriage and on a back. So it's 22 karat gold and everything, but again, I don't know how to use the model and all that because it's such a long time ago. and mostly some half of it was mostly inherited from generations kind of. Thing. Okay. Do you have like just kind of a general amount of what you think was taken jewelry wise? Oh, I mean jewelry, jewelry would be usually because it was all 20-2 valid gold, past from generation, it could be usually 60 to 70, but Again, I'm just, again, this is the gold price today and all, but like this is a . Okay. And then I don't have any scientific way to prove it because it is always from the grandma from USDA. Right. Okay. Did you ever talk to your agent about any coverage for jewelry? Yeah, we did talk to her. She said just put it at close or something. That's what she said. Did we talk to her agent about the GIV company? She didn't know much. She said close or something. I don't know about that. Okay. So, yeah, so I don't see any, like, special jewelry coverage that you guys have. And, like, just on the policy itself, the policy only covers $1,000 per piece up to $2,500 total for theft of jewelry. Okay. Sorry about that. Okay. I think more than the money does more than emotional thing. Right, I get that. Right, I'm sorry. Okay, as far as the other coverage on your policy, so you have the $5,000 deductible, so that just gets subtracted before any kind of payment would be issued. Any time we go over the limit on something, we can use that to go towards your deductible, though. So if you guys could put together like some kind of somewhat of an itemized list of the jewelry, just so we can kind of price that out and then, you know, get you what we can for the jewelry. And then obviously, if it goes over that limit, then we would just apply it to the deductible for you. I mean, the limit is 2500, right? Right, right. Okay, yeah, that is like just one thing. Right, right. But yeah, I know, and I'm sorry, I hate to have you do that just with the low limit, but if you guys could just kind of put something together so at least maybe we can, you know, absorb what we can for you on the deductible. And then as far as the damages to-- go ahead. Yeah, no, go ahead. I just say because you're dealing, so we need to write-- anyway, go on, then I'll ask you how to put it all together. OK. So as far as the damages to the home, we don't usually send out like a, you know, like a local adjuster. Usually we handle it over the phone. Based on the damages, though, I don't know that it might not be a bad idea to get someone out there to take a look at it just because of the floor, just because that would be hard to estimate for just over the phone. I can, we do have the ability to do like a virtual inspection. It's kind of like FaceTime, but it's through a system that we use on our computer. Is that something that you guys would be able to do just so I can take a look at it first and then figure out if we need to get someone out there locally? You mean, I have to download the app, right? Yeah, so it's basically just like a link you click on for a website that you join or? Yeah. And we can do it now if you want, or if you want to set up a time, another time, we can do that. Yeah, let me, okay, let me get in there one second. Yeah, from what, from a couple of folks we have talked to, they said you have to replace the door because it's hard to just do the glass. Right. And that's usually what we do anyways, especially anytime that there's glass broken. So yeah, that's, that definitely seems reasonable. Okay, I'm gonna send you the invite. Do you want me to text? Can either text me, then I can just, yeah. Okay, let me make sure. Okay. Okay. Okay, so I just sent it, so it should come through. Sometimes it doesn't let you accept all of the access or allow all the access while you're already on a call. And we actually don't need to be on the phone, we'll be connected. Can I give you another number? No, that's okay. What I'll do, because we'll actually get connected once you are logged in, it'll connect you through your phone and my computer. So we don't actually need to be on a phone call. I'll actually, I'll be able to. to hear you through the program. So I'll go ahead and, did you get the text already? Yeah, I did. Okay. So if you want to try and do it, and then if not, I'll let you go on. The phone and then let you set it up and we can. Microphone access, location access. Okay. Can you see me now? I can, I can, I'm on now. Okay. Okay, thank you. Yeah. You can go. You're not able to. One option is to do to the laptop. It might work better if we're not on the phone, because sometimes I know that gives people trouble if you're already on a call. So why don't I. let you. Go and send you want to send the link to my other phone, then I can just try that phone. I can give you the number. Okay, one second. Let me end this one. So you can keep talking on this phone and I'll use the other phone to connect. That's fine. Yeah. Okay. What's the other one? 650. Okay. 999. Okay. 1315. Okay. I'm going to wait for the phone. Okay, I just sent it. Okay, now it's all right. Let me try on this phone. Okay, so I'm on the other phone. It's time to connect. Can you see it? I'm on now. Yes, sure. Yes, I can see it. So I'm just going to try to loading on. Okay. Okay, I'm going to take a picture if you just want to hold it there from there. You see the door boarded up. Yes, yeah. Yeah, so that's the one that broke in. And what the people who came in said like you have to replace this whole thing. This is a Pella door and it has like three things. OK, so that's going to replace the whole thing. That's only. OK, good. So we talked to the glass guys that said they can't do it. Right, right. OK, OK. So it seems like this whole thing has to be replaced. And we got a quote from Anderson. They said, right? That's the quote we have right now. We're thinking of calling the fella guys as well because the door is fella. But it will be around that time. OK. Yeah, that probably might be a good idea since it's already that. Okay, now let me show you the floor damage. Okay, this is the place where they dragged everything, the space and all. I don't know if you can see it, right. Yeah, I can. And then, you know, all the way, they can drag you, drag you. This is all crashed. This is all crashed. But then the biggest one is the most serious one is this one here. This is where this is where they ripped it. Ripped it. Yeah. Okay. Because they are dragging the pig out. And then they broke it up here. I mean, these are mine, but the dent there also. It's like driving the whole thing. Yeah, I think on the time also the same thing. Yeah. Yeah. Yeah, all the way. Yeah, all the way down with it all grabbed. Right. Yeah, so that is the main damage. Okay, anything else that you've noticed at all? Okay, I'll go ahead and disconnect on the virtual inspection here. Okay, can you hear me still? Yeah, okay. Okay. Okay. But yeah, if you want to get, it might not hurt to get Pella out to take a look at it, just since it is like a Pella branded door. Yeah, so we have an appointment with them, so we will talk to the Pella understand we already have. Okay. Okay, why, how does it work? Like, I'll figure out all the people and then you just. So we don't actually send anyone out, so it's really just whoever you guys wanna use to do the work, I will. Let me, because I know our, like our local inspections are still kind of limited, just, with COVID and everything. So let me see if it would be good to get someone like one of our more local adjusters out there to take a look at it as far as like the damage to the flooring, just for like measurements, you know, and things like that, we just can't really do over the phone, unfortunately. So let me, let me see if we need to get someone out on that part of it. But yeah, on the door, just if you want to get some estimates, that would be great. And then we'll just kind of go from there on that. Yeah, the door people also said there's like a long release time of four months. So we want to get started soon because we don't want to do it for a long time. So let's say we take an estimate, let's say we get an estimate. I think it's Stella and I understand pretty much go over the two door companies and let's say the cheaper one the job and then we just go with that, we pay them and then we will do that. Yeah, so we would actually pay you as the policyholder and then you would just pay the, you know, the door company. Yeah. Okay, okay. So do I have to do some paperwork for that or? Not really. So if you just want to let me know or send in like the quotes that you get on the door, just we have those on file and then just out list of jewelry just so we can kind of put together an estimate on that part of it. Did they actually take the safe or do you still have it? No, they took the first, and I contacted the previous tenure if you had, because there's a data breach on the first, right, but we didn't know any code for the first, we didn't put anything in the first, so we don't have anything to do with the first, but I was just hoping that I can inform the first company, but no one knows the first company, I have no idea what to do there. Okay, did you guys have anything else in there besides jewelry, or was it mainly just your jewelry? No, it was just jewelry, and it was not in the place, actually. It was in a very nice, secretive place. I don't know how to find that, because I, because I've heard a lot of people. I think there has been this and all one of my friends also got involved in that like in March and they took the 5th so we just took out we didn't put anything in the 5th we put it in the 5th place but they still found it like I have no idea how it found that I'm sorry yeah that's frustrating the 5th we didn't have anything in the 5th but they took away I mean I think that's fine and you can. Have yeah and if you want to include the details on a safe like on the list with the jewelry, we can definitely include that on the list as well. Okay. So I'll send you a list of the jewelry. Yeah. Yeah. And just it doesn't have to be like super, you know, super detailed, but just so we have somewhat of an itemization, just to be able to put together an estimate on that part of it. And then, like I said, absorb, that deductible, obviously, if we need to, I'll send. You, I'll send you back. I, could get to you back, right? I'll send you an e-mail, I guess. Either or, and I can send you, I have your e-mail here, so I can send you one, and then you can just reply back to me if that's easier, just so you have it and you have my information. And then, yeah, just if anything else comes up, feel free to call or text or e-mail, whatever's easiest for you. I do work central time, so just as a heads up, I'm just a couple hours ahead of you, but I'm usually here till about 3:30 or 4:00, so central. No problem. So, I'll wait for your e-mail and we'll give you details on the journey and say, we go ahead with the door stuff and get going and figure out another court and then we're able to give them the job because it's a lead time as you said. I mean, as you explained, you tell me around the door person and the clearing and tag, you send someone local to take a look. Yeah, I'll take a look at that to see if it would be, I'm thinking it might be best just to get one of our local adjusters come out, but let me take a look at that and see what the availability is, and then I'll let you know. Sure. Okay. Any other questions right now? No, thank you. Thanks a lot for your assistance. My pleasure. Thank you. I'm so sorry that this happened, but we'll do what we can for you. And if there's anything else I can do or answer for you, just let me know, okay? Sure, sure. Thank you. Thank. You. All right. I will send you an e-mail here shortly, and then just let me know if you have any questions, okay? Yeah, thank you. All right. Thank you. Take care. Talk to you soon. Bye-bye.</t>
  </si>
  <si>
    <t>hello hi this is Lauren coaling with Farmers Insurance how are you  I'm doing well  I was giving you a call about the claim is now a good time  yeah okay perfect and just before we continue I do need to let you know that all my calls are recorded is that all right  okay thank you so let me just come from a few things with you here first and I'll have you kind of give me some details we have a this happened on October 2nd is that right  thank you  okay  and I have her address for and we came on Sunday now and then when we were inside the house he saw that so sometimes around that  okay  Friday in the afternoon 4 p.m.  and Sunday p.m. as well 9 p.m.  have your address is 113871 D place  okay  and did the police respond do they come out or do they just do it over the phone  okay  any suspects or did they mention anything about any other break-ins in the area  right okay and what about any damage to the home or do you know how they got in  they broke the block  and then they also damage the clothes they also created  and the glass which door  the front door  okay  and you said damage to the flooring was that from the glass or  no  what kind of for the top  and then Bulldogs all the bones to be replaced too  have you had anyone come out yet to give you an estimate or take a look at it  yeah you  one from ambition and then  this  okay  and is it just you and your wife fell up there does anyone else out there with you  sorry had to come home to that um and the floor like how many rooms would you say it's the image  you  find out the size the benefits of basically you know they are bragging the space and that's how they scratched the floor in the living room  and as far as what was stolen was it was it mean right just jewelry or anything else you've noticed missing we described this because this was like really five years ago from our original so it's going to get a gold and everything but again I don't know how to be the model and all that because it could continue  and mostly from half of it was inheritance from Generations  okay  do you have like just kind of a general amount of what you think was taken Jewelry Wise oh  right okay  did you ever talk to your agent about any coverage for Jewellery  about this  okay  so  yeah so I don't see any  like special jewelry coverage that you guys have and like on just on the policy itself the policy only covers 1000 per piece up to 2500 dollars total for theft of jewelry  right right sorry  okay well as far as the other coverage on your policies you have the 5000 deductible so that just gets subtracted before any kind of payment would be issued anytime we go over the limit on something we can use that to go towards your deductible though so if you guys could put together like some kind of some of an itemized list of the jewelry just so we can kind of price that out and then you know get you what we can for the jewelry and then obviously if it goes over that limit then we would just apply it to the deductible for you  alright alright alright so yeah I know and I'm sorry I hate to have you do that just with the low limit but if you guys could just kind of put something together show at least maybe we can you know absorb what we can for you on the deductible  then as far as the damage has to  go ahead yeah  okay so as far as the damage to the home we don't usually send out like a you know like a local Edge officer usually we handle it over the phone based on the damages though I don't know that it it might not be a bad idea to get someone out there to take a look at it just because of the floor  you know just because that would be hard to estimate for just over the phone  I can we do have the ability to do like a virtual inspection it's kind of like FaceTime but it's through a system that we use on our computer is that something that you guys would be able to do just so I can take a look at it first and then figure out if we need to get someone out there locally yeah so it's basically just like a link you click on for our website that you and we can do it now if you want or if you want to set up a time another time  right and that's usually what we do anyways especially anytime that there's lots broken so yeah that's Point these trees symbol okay I'm going to send you the invite do you want me to text that it can either yes okay  okay so I just sent it should come through sometimes it doesn't like you accept all of the access or allow the access while you're already on a call and we actually don't need to be on the phone will be good  no that's okay what I'll do because we'll actually get connected once you are logged in it'll connect you to your phone and my computer so we don't actually need to be on a phone call I'll actually I'll be able to hear you through the program so I'll go ahead and did you get the text already  so if you want to try and do it and then if not I'll let you go on the phone what you've set it up microphone is located  it might work better if we're not on the phone because sometimes I know that gives people trouble if you're already on a call so what I  like you I can give you  that's fine yeah okay what's the other one  six five zero  okay  nine nine  one three one five okay  I'm going to wait for that one  okay it just next can you see it I am on now  so I can see it  so you  know when I take a picture if you just want to hold it there you see the door boarded up  yes  yeah so that's the one we're looking like and what the people who came and said like you have to replace this whole thing  this is  okay we talked to the glasses  okay is this one here this is a this is the  okay  here  so that is the name damage  okay  anything else you notice at all  okay um to take a look at it just as it is like a pillow bringing the door  yes  okay  why do you  think you  so we don't actually send anyone out so it's really just whoever you guys want to use to do the work  I will let me because I know our like our local inspections are so kind of limited just you know with covid and everything so let me see would be good to get someone like one of our more local adjusters out there to take a look at it as far as like the damage to the flooring and just for like measurements you know and things like that that we just can't really do over the phone unfortunately  so let me let me see if we need to get someone out on that part of it but yeah on the door just if you want to get some estimate that would be great like a long lead time of we want to get started soon because you don't believe that right yeah  and the same is pretty much those are the two door companies and let's say this people won the job and then we go over that and then you  yes so we would actually pay you as a policy holder and then you would just pay the you know that  not really so if you just want to let me know or send in like the quote that you get on the door just we have those on file and then just list of jewelry just so we can kind of put together an estimate on that part of it and they actually take the safe  or do you still have it so you don't have anything to do with the face but  I was just talking like I can inform the safe company that no one knows he  did you guys have anything else in there besides jewelry or was it mainly just your jewelry okay  sorry yeah that's true you want to include the details on the face like on and just it doesn't have to be like super  you know super detail but just so we have somewhat of an itemization just to be able to put together an estimate on that part of it  and then like I said absorb you know that deductible obviously if we need to help you  either or and I can send you I have your email here so I can send you one and then you can just reply back to me if that's easier to have it and how my information and then yeah just if anything else comes up feel free to call or text or email whatever's easiest for you I do work central time so just as a heads up I'm just a couple hours ahead of you but I'm usually 30 or 4 or so Central  football real yeah I'll take a look at that just to see if it would be be I'm thinking it might be best just to get one of our local adjusters to come out but let me take a look at that and see what the availability is and then I'll let you know  okay  any other questions right now  no thank you my pleasure thank you sorry this has happened but we'll do what we can for you if there's anything else I can do or  answer for you just let me know okay  all right I will send you an email or shortly and then just let me know if you have any questions okay  all right thank you take care talk to you  bye</t>
  </si>
  <si>
    <t>Hello. Hi, this is Lauren calling with Farmers Insurance. How are you? I'm doing well. I was giving a call about the claim. Is now a good time? Yeah, it's a good time. Okay, perfect. And just before we continue, I do need to let you know that all my calls are recorded. Is that all right? Okay. Okay, thank you. So let me just confirm a few things with you here first, and I'll have you kind of give me some details. We have that this happened on October 2nd. Is that right? Thank you. We were out Friday, Saturday. We came back on Sunday, and we saw that it was there. So you have to say when it got done between Friday, Saturday, Sunday. So it's our best question. Okay. All right. And I have your address. It's 113871. Yeah, we left on Friday at 4, and we came on Sunday at 9, and then when we entered the house, we saw that. So Sunday around that season. Okay. Friday in the afternoon, 4 p.m.? Yeah. Okay. And Sunday, p.m. as well, 9 p.m.? Yeah, I think 9 is when we called the cops. Okay. Okay. And I have your address as 113871. Is that correct? Yes, correct. Okay. All right. And did the police respond? Did they come out or did they just do it over the phone? No,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The back door, the family room back door. And they also took away all our jewelry. So those are the things that compromised. Okay. I'm sorry to hear that. Okay. And you said damage to the flooring. Was that from the glass or? No, apparently they were dragging the face, so that's why it was scratched. Okay. What kind of flooring is it? The glass is too hard wood. And the glass is all broken, so we have now boarded it up. Okay. And that board glass, all the board needs to be replaced too. Okay. Have you had anyone come out yet to give you an estimate or take a look at it? Yeah, we did have. We have one from Anderson. And then one from the California. Yeah, so the Anderson guy came and he quoted, he said the whole thing has to be replaced and he quoted us an amount of 18 too. Okay. Okay. And is it just you and your wife fell up there? Does anyone else out there with you? My kid, she's nine years old. We had an accident. She just went to Utah. That's what we're doing. Gotcha. Okay. Sorry, I had to come home to that. Yeah. Okay. And the floor, like how many rooms would you say it's the image? I think the floor is the living room. It's mostly the living room and then in the front of the side, the damage is attached. So basically, you know, they are dragging the face and that's how they scratched the floor in the living room. And then somehow then I think maybe two or three people were there to lift it and then they went to the tile and then they scratched the tile. Okay. I think the tires, it's a small area. When we did the tires, we actually did the tires a year ago. It was like 3,000 to 4,000 something, I think. And the floor, when we did it back there, it was like 2,400 something. But the floor might be just, I don't know, if someone can do something, if possible. Okay. And as far as what was stolen, was it mainly just jewelry or anything else you've noticed missing? So far we just noticed jewelry. This was like a fast of me to... described this because this was like really 15 years ago from my region and about so it's 22 character gold and everything but again i don't know how to be the model and all that because it takes a long time and mostly some half of it was mostly inherited from generation kind of thing okay do you have like just kind of a general amount of what you think was taken jewelry wise oh i mean jewelry would be because it was all 22 carat gold past from the generation it would be easily 60 to 70 carat but again i'm just uh again this is just from the gold price today and all but this is just a request okay but again i don't have any scientific proof of the code of the norm from the blind mind from us right okay um did you ever talk to your agent about any coverage for jewelry yeah we did talk to her she said the put it at slope on something that's what she said did we talk to our agent about the coverage she didn't know much because the people could create something i don't know what that okay so yeah so i don't see any like special jewelry coverage that you guys have and like on just on the policy itself the policy only covers um 1 000 per piece up to 2 500 total for theft of jewelry okay i'm sorry about that yeah not wrong okay i think more than the money because more than more certain right right i get that you are in our family for like four generations right sorry okay well um as far as the other coverage on your policy so you have the 5 000 deductible so that just gets subtracted before any kind of payment would be issued um anytime we go over the limit on something we can use that to go towards your deductible though um so if you guys could put together like some kind of somewhat of an itemized list of the jewelry just so we can kind of price that out um and then you know get you what we can for the jewelry and then obviously if it goes over that limit then we would just uh apply it to the deductible for you the limit is 2000 times right right okay yeah that is like just one thing to do right right but yeah i know and i'm sorry i hate to have you do that just with the low limit but if you guys could just kind of put something together so at least maybe we can you know absorb what we can for you on the deductible um and then as far as the damages to go ahead yeah no go ahead i just say the country really so we just write anyway go on then i'll ask you how to take it out okay um so as far as the damages to the home we don't usually send out like a um you know like a local adjuster usually we handle it over the phone um based on the damages though i don't know that it it might not be a bad idea to get someone out there to take a look at it just because of the floor um you know just because that would be hard to estimate for just over the phone um i can we we do have the ability to do like a virtual inspection it's kind of like facetime but it's through a system that we use on our computer um is that something that you guys would be able to do just so i can take a look at it first and then figure out if we need to get someone out there locally you mean have to download this app right yeah so it's basically just like a link you click on for a website um that you join or yeah um and we and we can do it now if you want or if you want to set up a time another time we can do that if you can yeah let me okay let me get in there one second yeah from what from a couple of folks you've talked to they said you have to replace the board because it's hard to just do the glass right And that's usually what we do anyways, especially anytime that there's glass broken. So, yeah, that definitely seems reasonable. Okay. I'm going to send you the invite. Do you want me to text? It can either. Yeah, I can text you, then I can just. Yeah, text you. Okay. Okay. Let me make sure.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I can see it. So I'm just going to turn the recording on. Okay. Okay. I'm going to take a look, sure, if you just want to hold it there for a moment. You see the door boarded up? Yes, yeah. Yeah, so that's the one that broke in. And what the people who came in said, like, you have to replace this whole thing. This is a Pella door, and it has, like, three things, so it's very hard to see. It's 10 years old, so they're saying to replace the whole thing. That's the only thing being done. Okay, okay. We talked to the glass divers that we can't do it. Right, right. Okay, okay. So it seems that this whole thing has to be replaced, and you got a quote from Anderson. They said they want to do it, right? They think that's something. I think that's whatever they are. You don't need to have to do something in there. That's the quote we have right now. We are thinking of calling the Pella guys as well because the door is Pella. But it could be around that. Okay. Yeah, that probably might be a good idea since it's already the early. Okay, now let me show you the floor damage. Okay, this is the place where they drag everything, the face and all. Oh, okay. Yeah, I can. And then, you know, all the way, they kept dragging, dragging. Then here, see, like all these. This is all cracked, this is all cracked. But then the biggest one is the most serious one is this one here. This is where the hit it, hit it, yeah. Okay. Because they are dragging the feet out. And then they are doing it here. These are minor, but the dent they did was the dent. So it's like we're dragging the motion. And then I think on the side, it's like, yeah, it could be done. Okay. Yeah. Yeah, all the way. Yeah, all the way. This is all ground. Right. Yeah, so that is the main damage. Okay, okay. Okay, anything else that you've noticed at all? Not, no, not that much. Okay, okay. I'll go ahead and disconnect on the virtual inspection here. Okay, can you Yeah, so we have an accountant with them. So we will talk to that person. Anderson, we already have. Okay. I think he already coded it. Okay. Why I appreciate you doing that. How does it work? Like, I figure out all the people, and then you just read it? Or you and your folks, and they do it? So we don't actually send anyone out. So it's really just whoever you guys want to use to do the work. I will let me, because I know our local inspections are still kind of limited, just, you know, with COVID and everything. So let me see. It would be good to get someone, like one of our more local adjusters out there to take a look at it as far as like the damage to the flooring, just for like measurements, you know, and things like that that we just can't really do over the phone, unfortunately. So let me see if we need to get someone out on that part of it. But yeah, on the door, if you want to get some estimates, that would be great. And then we'll just kind of go from there on that. Yeah, the door people also said there's like a long lease time of four months. So we want to get started soon because we don't want to leave for a long time. Right. Yeah. So let's say we take an estimate. Let's say you get an estimate. I think it's Stella and then you send it pretty much to the door companies. And let's say you give the cheap one the job. And then we just go with that. We pay them and then we reimburse. Is that how it works? Yeah, so we would actually pay you as the policyholder, and then you would just pay the door company. Okay. So do I have to do some paperwork for that? Not really. So if you just want to let me know or send in the quotes that you get on the door, just we have those on file, and then just that list of jewelry, just so we can kind of put together an estimate on that part of it. Did they actually take the safe, or do you still have it? No, they took the safe, and I contacted the previous, and I had. Because there was a data breach on the safe, right? But we didn't know any code for the safe. We didn't put anything in the safe. So we don't have anything to do with the safe. But I was just thinking like I can inform the safe company, but no one knows. Right. I have no idea what to do with it. Okay. Did you guys have anything else in there besides jewelry or was it mainly just your jewelry? No, there's jewelry. Okay. It was not in the safe, actually. It was, you know, a very nice secretive place. I don't know how they found that. Right, right. Because I've heard from a lot of people. I think there has been this, like, in the area, especially his borough and all. One of my friends also got involved in that, like, in March. And they took the safe. So we just took out. We didn't put anything in the safe. We put it in a secret place, but they still found it. Like, I have no idea how they found that. I'm sorry. Yeah, that's frustrating. But first, we didn't have anything in the safe. But they took away the safe. Okay. I mean, I think that's fine. Yeah, and if you want to include the details on the safe, like on the list with the jewelry, we can definitely include that on the list as well. Okay. But yeah, if you guys want to work on that. Yeah, so if you guys send me a list of the jewelry, is that what you're saying? Yeah, yeah. And it doesn't have to be like super, you know, super detailed, but just so we have somewhat of an itemization just to be able to put together an estimate on that part of it. And then, like I said, absorb, you know, that deductible, obviously, if we need to. I can do that. I can just see you back, right? I'll send you an email, I guess. Either or, and I can send you, I have your email here, so I can send you one, and then you can just reply back to me if that's easier, just so you have it and you have my information. And then, yeah, just if anything else comes up, feel free to call or text or email, whatever's easiest for you. I do work central time, so just as a heads up, I'm just a couple hours ahead of you. But I'm usually here until about 3.30 or 4, so central. No problem. Okay. So I'll wait for your email and you will give me details on the J-R-A and say we'll go ahead with the door stuff and just going and figure out another quote and then we'll give them the job because it's a lead time as you said and of course I mean as you explained you will call me and I'll take the door person and the flooring and tiles you send someone local to take a look at. Yeah, I'll take a look at that to see if it would be, I'm thinking it might be best just to get one of our local adjusters to come out, but let me take a look at that and see what the availability is and then I'll let you know. Sure, sure, sure. Okay. Any other questions right now? No, thank you. I thank you a lot for your assistance. My pleasure. I'm so sorry that this happened, but we'll do what we can for you. And if there's anything else I can do or answer for you, just let me know. Okay. All right. I will send you an email shortly and then just let me know if you have any questions. Okay. Yes, thank you. All right. Thank you. Take care. Talk to you soon. Bye-bye.</t>
  </si>
  <si>
    <t>Date</t>
  </si>
  <si>
    <t>Issue</t>
  </si>
  <si>
    <t>25/7/2025</t>
  </si>
  <si>
    <t>In the current release for longform audios, it's supporting upto 140 secs of audio, instead of 30 minutes of audio + Repetitive Decoding</t>
  </si>
  <si>
    <t xml:space="preserve">For the benchmarking longform audios are split into around chunks around 2 mins based on the VAD time stamps. For this task silero VAD has been used. </t>
  </si>
  <si>
    <t>Standalone model, no issues as such</t>
  </si>
  <si>
    <t>en-US version</t>
  </si>
  <si>
    <t>whisper_large_turbo</t>
  </si>
  <si>
    <t>Sometime produced ghost transcriptions</t>
  </si>
  <si>
    <t>Multilingual model with auto code switching, optimized decoding</t>
  </si>
  <si>
    <t>Not supported in Riva</t>
  </si>
  <si>
    <t>Small model and Best interms of realtimefactor</t>
  </si>
  <si>
    <t>Not ideal for telephony use cases</t>
  </si>
  <si>
    <t>Supported in Riva</t>
  </si>
  <si>
    <t>No issues as such. But requires vocab additions and boosting incase of addresses and Names</t>
  </si>
  <si>
    <t>Offers customization options for domain specific usecases</t>
  </si>
  <si>
    <t>Audio size more than 25mb not supported</t>
  </si>
  <si>
    <t>Need to go with batch api for longer audios</t>
  </si>
  <si>
    <t xml:space="preserve">Average in terms of wer and worst in terms of latency </t>
  </si>
  <si>
    <t>Not supported in Riva for the timebeing</t>
  </si>
  <si>
    <t>Repetitive Decoding + Showing numbers as string + Real-time factor was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</si>
</sst>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000000"/>
      <name val="Calibri"/>
      <family val="2"/>
    </font>
    <font>
      <sz val="11"/>
      <color rgb="FF000000"/>
      <name val="Calibri"/>
      <charset val="1"/>
    </font>
  </fonts>
  <fills count="5">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5"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0" fillId="0" borderId="1" xfId="0" applyBorder="1"/>
    <xf numFmtId="0" fontId="0" fillId="2" borderId="1" xfId="0" applyFill="1" applyBorder="1"/>
    <xf numFmtId="0" fontId="2" fillId="0" borderId="1" xfId="0" applyFont="1" applyBorder="1"/>
    <xf numFmtId="46" fontId="0" fillId="0" borderId="1" xfId="0" applyNumberFormat="1" applyBorder="1"/>
    <xf numFmtId="0" fontId="1" fillId="3" borderId="1" xfId="0" applyFont="1" applyFill="1" applyBorder="1" applyAlignment="1">
      <alignment horizontal="center" vertical="top"/>
    </xf>
    <xf numFmtId="0" fontId="1" fillId="3" borderId="1" xfId="0" applyFont="1" applyFill="1" applyBorder="1" applyAlignment="1">
      <alignment horizontal="center"/>
    </xf>
    <xf numFmtId="20" fontId="0" fillId="0" borderId="1" xfId="0" applyNumberFormat="1" applyBorder="1"/>
    <xf numFmtId="21" fontId="0" fillId="0" borderId="1" xfId="0" applyNumberFormat="1" applyBorder="1"/>
    <xf numFmtId="0" fontId="1" fillId="0" borderId="2" xfId="0" applyFont="1" applyBorder="1" applyAlignment="1">
      <alignment horizontal="left"/>
    </xf>
    <xf numFmtId="0" fontId="1" fillId="0" borderId="2" xfId="0" applyFont="1" applyBorder="1"/>
    <xf numFmtId="0" fontId="3" fillId="0" borderId="0" xfId="0" applyFont="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3"/>
  <sheetViews>
    <sheetView topLeftCell="C1" zoomScale="70" zoomScaleNormal="70" workbookViewId="0">
      <selection activeCell="D15" sqref="D15"/>
    </sheetView>
  </sheetViews>
  <sheetFormatPr defaultRowHeight="14.45"/>
  <cols>
    <col min="1" max="1" width="25.7109375" customWidth="1"/>
    <col min="2" max="2" width="19.5703125" customWidth="1"/>
    <col min="3" max="3" width="36.140625" customWidth="1"/>
    <col min="4" max="4" width="21.42578125" customWidth="1"/>
    <col min="5" max="5" width="16.5703125" hidden="1" customWidth="1"/>
    <col min="6" max="6" width="22.28515625" customWidth="1"/>
    <col min="7" max="7" width="13.42578125" customWidth="1"/>
    <col min="8" max="8" width="19" customWidth="1"/>
    <col min="9" max="9" width="16.28515625" customWidth="1"/>
    <col min="10" max="10" width="17.140625" customWidth="1"/>
    <col min="12" max="12" width="36.140625" bestFit="1" customWidth="1"/>
    <col min="13" max="13" width="24.28515625" bestFit="1" customWidth="1"/>
    <col min="14" max="14" width="19.28515625" bestFit="1" customWidth="1"/>
    <col min="15" max="15" width="21.42578125" customWidth="1"/>
  </cols>
  <sheetData>
    <row r="1" spans="1:15">
      <c r="A1" s="5" t="s">
        <v>0</v>
      </c>
      <c r="B1" s="5" t="s">
        <v>1</v>
      </c>
      <c r="C1" s="5" t="s">
        <v>2</v>
      </c>
      <c r="D1" s="5" t="s">
        <v>3</v>
      </c>
      <c r="E1" s="5" t="s">
        <v>4</v>
      </c>
      <c r="F1" s="5" t="s">
        <v>5</v>
      </c>
      <c r="G1" s="5" t="s">
        <v>6</v>
      </c>
      <c r="H1" s="5" t="s">
        <v>7</v>
      </c>
      <c r="I1" s="5" t="s">
        <v>8</v>
      </c>
      <c r="J1" s="5" t="s">
        <v>9</v>
      </c>
      <c r="L1" s="5" t="s">
        <v>2</v>
      </c>
      <c r="M1" s="5" t="s">
        <v>10</v>
      </c>
      <c r="N1" s="5" t="s">
        <v>11</v>
      </c>
      <c r="O1" s="5" t="s">
        <v>9</v>
      </c>
    </row>
    <row r="2" spans="1:15">
      <c r="A2" s="1" t="s">
        <v>12</v>
      </c>
      <c r="B2" s="7">
        <v>0.28055555555555556</v>
      </c>
      <c r="C2" s="1" t="s">
        <v>13</v>
      </c>
      <c r="D2" s="1" t="s">
        <v>14</v>
      </c>
      <c r="E2" s="1">
        <v>35</v>
      </c>
      <c r="F2" s="1" t="s">
        <v>15</v>
      </c>
      <c r="G2" s="1">
        <v>0.32</v>
      </c>
      <c r="H2" s="1">
        <v>5.91</v>
      </c>
      <c r="I2" s="1">
        <f>ROUND(582/H2,2)</f>
        <v>98.48</v>
      </c>
      <c r="J2" s="1"/>
      <c r="L2" s="1" t="s">
        <v>13</v>
      </c>
      <c r="M2" s="1">
        <v>75.63</v>
      </c>
      <c r="N2" s="1">
        <v>0.47</v>
      </c>
      <c r="O2" s="1"/>
    </row>
    <row r="3" spans="1:15">
      <c r="A3" s="1"/>
      <c r="B3" s="1"/>
      <c r="C3" s="1" t="s">
        <v>16</v>
      </c>
      <c r="D3" s="1"/>
      <c r="E3" s="1">
        <v>34.17</v>
      </c>
      <c r="F3" s="1" t="s">
        <v>17</v>
      </c>
      <c r="G3" s="1">
        <v>0.28999999999999998</v>
      </c>
      <c r="H3" s="1">
        <v>9.27</v>
      </c>
      <c r="I3" s="1">
        <f t="shared" ref="I3:I11" si="0">ROUND(404/H3,2)</f>
        <v>43.58</v>
      </c>
      <c r="J3" s="1"/>
      <c r="L3" s="1" t="s">
        <v>16</v>
      </c>
      <c r="M3" s="1">
        <v>54.92</v>
      </c>
      <c r="N3" s="1">
        <v>0.34</v>
      </c>
      <c r="O3" s="1"/>
    </row>
    <row r="4" spans="1:15">
      <c r="A4" s="1"/>
      <c r="B4" s="1"/>
      <c r="C4" s="1" t="s">
        <v>18</v>
      </c>
      <c r="D4" s="1"/>
      <c r="E4" s="1">
        <v>23.13</v>
      </c>
      <c r="F4" s="1" t="s">
        <v>19</v>
      </c>
      <c r="G4" s="2">
        <v>0.13</v>
      </c>
      <c r="H4" s="2">
        <v>5.4</v>
      </c>
      <c r="I4" s="1">
        <f t="shared" si="0"/>
        <v>74.81</v>
      </c>
      <c r="J4" s="1"/>
      <c r="L4" s="1" t="s">
        <v>18</v>
      </c>
      <c r="M4" s="1">
        <v>85.88</v>
      </c>
      <c r="N4" s="1">
        <v>0.24</v>
      </c>
      <c r="O4" s="1"/>
    </row>
    <row r="5" spans="1:15">
      <c r="A5" s="1"/>
      <c r="B5" s="1"/>
      <c r="C5" s="1" t="s">
        <v>20</v>
      </c>
      <c r="D5" s="1"/>
      <c r="E5" s="1"/>
      <c r="F5" s="1" t="s">
        <v>21</v>
      </c>
      <c r="G5" s="1">
        <v>0.94</v>
      </c>
      <c r="H5" s="1">
        <v>18.079999999999998</v>
      </c>
      <c r="I5" s="1">
        <f t="shared" si="0"/>
        <v>22.35</v>
      </c>
      <c r="J5" s="1" t="s">
        <v>22</v>
      </c>
      <c r="L5" s="1" t="s">
        <v>23</v>
      </c>
      <c r="M5" s="1"/>
      <c r="N5" s="1"/>
      <c r="O5" s="1" t="s">
        <v>24</v>
      </c>
    </row>
    <row r="6" spans="1:15">
      <c r="A6" s="1"/>
      <c r="B6" s="1"/>
      <c r="C6" s="1" t="s">
        <v>25</v>
      </c>
      <c r="D6" s="1"/>
      <c r="E6" s="1"/>
      <c r="F6" s="1" t="s">
        <v>26</v>
      </c>
      <c r="G6" s="2">
        <v>0.12</v>
      </c>
      <c r="H6" s="2">
        <v>2.9</v>
      </c>
      <c r="I6" s="1">
        <f>ROUND(404/H6,2)</f>
        <v>139.31</v>
      </c>
      <c r="J6" s="1"/>
      <c r="L6" s="1" t="s">
        <v>25</v>
      </c>
      <c r="M6" s="1">
        <v>221</v>
      </c>
      <c r="N6" s="1">
        <v>0.22</v>
      </c>
      <c r="O6" s="1" t="s">
        <v>27</v>
      </c>
    </row>
    <row r="7" spans="1:15">
      <c r="A7" s="1"/>
      <c r="B7" s="1"/>
      <c r="C7" s="1" t="s">
        <v>28</v>
      </c>
      <c r="D7" s="1"/>
      <c r="E7" s="1"/>
      <c r="F7" s="3" t="s">
        <v>29</v>
      </c>
      <c r="G7" s="2">
        <v>0.28000000000000003</v>
      </c>
      <c r="H7" s="3">
        <v>9.9499999999999993</v>
      </c>
      <c r="I7" s="1">
        <f t="shared" si="0"/>
        <v>40.6</v>
      </c>
      <c r="J7" s="1"/>
      <c r="L7" s="1" t="s">
        <v>28</v>
      </c>
      <c r="M7" s="1">
        <v>52.38</v>
      </c>
      <c r="N7" s="1">
        <v>0.38</v>
      </c>
      <c r="O7" s="1"/>
    </row>
    <row r="8" spans="1:15">
      <c r="A8" s="1"/>
      <c r="B8" s="1"/>
      <c r="C8" s="1" t="s">
        <v>30</v>
      </c>
      <c r="D8" s="1"/>
      <c r="E8" s="1"/>
      <c r="F8" s="1" t="s">
        <v>31</v>
      </c>
      <c r="G8" s="2">
        <v>0.12</v>
      </c>
      <c r="H8" s="3">
        <v>2.8</v>
      </c>
      <c r="I8" s="1">
        <f t="shared" si="0"/>
        <v>144.29</v>
      </c>
      <c r="J8" s="1"/>
      <c r="L8" s="1" t="s">
        <v>30</v>
      </c>
      <c r="M8" s="1">
        <v>146.58000000000001</v>
      </c>
      <c r="N8" s="1">
        <v>0.27</v>
      </c>
      <c r="O8" s="1"/>
    </row>
    <row r="9" spans="1:15">
      <c r="A9" s="1"/>
      <c r="B9" s="1"/>
      <c r="C9" s="1" t="s">
        <v>32</v>
      </c>
      <c r="D9" s="1"/>
      <c r="E9" s="1"/>
      <c r="F9" s="1" t="s">
        <v>33</v>
      </c>
      <c r="G9" s="2">
        <v>0.18</v>
      </c>
      <c r="H9" s="3">
        <v>19.09</v>
      </c>
      <c r="I9" s="1">
        <f t="shared" si="0"/>
        <v>21.16</v>
      </c>
      <c r="J9" s="1"/>
      <c r="L9" s="1" t="s">
        <v>32</v>
      </c>
      <c r="M9" s="1">
        <v>29.91</v>
      </c>
      <c r="N9" s="1">
        <v>0.35</v>
      </c>
      <c r="O9" s="1"/>
    </row>
    <row r="10" spans="1:15">
      <c r="A10" s="1"/>
      <c r="B10" s="1"/>
      <c r="C10" s="1" t="s">
        <v>34</v>
      </c>
      <c r="D10" s="1"/>
      <c r="E10" s="1"/>
      <c r="F10" s="1" t="s">
        <v>35</v>
      </c>
      <c r="G10" s="1">
        <v>0.34</v>
      </c>
      <c r="H10" s="1">
        <v>136</v>
      </c>
      <c r="I10" s="1">
        <f t="shared" si="0"/>
        <v>2.97</v>
      </c>
      <c r="J10" s="1"/>
      <c r="L10" s="1" t="s">
        <v>34</v>
      </c>
      <c r="M10" s="1">
        <v>3.59</v>
      </c>
      <c r="N10" s="1">
        <v>0.51</v>
      </c>
      <c r="O10" s="1"/>
    </row>
    <row r="11" spans="1:15">
      <c r="A11" s="1"/>
      <c r="B11" s="1"/>
      <c r="C11" s="1" t="s">
        <v>36</v>
      </c>
      <c r="D11" s="1"/>
      <c r="E11" s="1"/>
      <c r="F11" s="1" t="s">
        <v>37</v>
      </c>
      <c r="G11" s="1">
        <v>0.3</v>
      </c>
      <c r="H11" s="1">
        <v>33.96</v>
      </c>
      <c r="I11" s="1">
        <f t="shared" si="0"/>
        <v>11.9</v>
      </c>
      <c r="J11" s="1"/>
      <c r="L11" s="1" t="s">
        <v>36</v>
      </c>
      <c r="M11" s="1">
        <v>13.49</v>
      </c>
      <c r="N11" s="1">
        <v>0.51</v>
      </c>
      <c r="O11" s="1"/>
    </row>
    <row r="12" spans="1:15">
      <c r="A12" s="1"/>
      <c r="B12" s="1"/>
      <c r="C12" s="1"/>
      <c r="D12" s="1"/>
      <c r="E12" s="1"/>
      <c r="F12" s="3"/>
      <c r="G12" s="2"/>
      <c r="H12" s="3"/>
      <c r="I12" s="1"/>
      <c r="J12" s="1"/>
    </row>
    <row r="13" spans="1:15">
      <c r="A13" s="1" t="s">
        <v>38</v>
      </c>
      <c r="B13" s="8">
        <v>0.40416666666666667</v>
      </c>
      <c r="C13" s="1" t="s">
        <v>13</v>
      </c>
      <c r="D13" s="1" t="s">
        <v>39</v>
      </c>
      <c r="E13" s="1">
        <v>37.229999999999997</v>
      </c>
      <c r="F13" s="1" t="s">
        <v>40</v>
      </c>
      <c r="G13" s="2">
        <v>0.27</v>
      </c>
      <c r="H13" s="2">
        <v>7.5</v>
      </c>
      <c r="I13" s="1">
        <f>ROUND(582/H13,2)</f>
        <v>77.599999999999994</v>
      </c>
      <c r="J13" s="1"/>
    </row>
    <row r="14" spans="1:15">
      <c r="A14" s="1"/>
      <c r="B14" s="1"/>
      <c r="C14" s="1" t="s">
        <v>16</v>
      </c>
      <c r="D14" s="1"/>
      <c r="E14" s="1">
        <v>47.77</v>
      </c>
      <c r="F14" s="1" t="s">
        <v>41</v>
      </c>
      <c r="G14" s="1">
        <v>0.28999999999999998</v>
      </c>
      <c r="H14" s="1">
        <v>9.91</v>
      </c>
      <c r="I14" s="1">
        <f t="shared" ref="I14:I22" si="1">ROUND(582/H14,2)</f>
        <v>58.73</v>
      </c>
      <c r="J14" s="1"/>
    </row>
    <row r="15" spans="1:15">
      <c r="A15" s="1"/>
      <c r="B15" s="1"/>
      <c r="C15" s="1" t="s">
        <v>18</v>
      </c>
      <c r="D15" s="1"/>
      <c r="E15" s="1">
        <v>29.95</v>
      </c>
      <c r="F15" s="1" t="s">
        <v>42</v>
      </c>
      <c r="G15" s="1">
        <v>0.35</v>
      </c>
      <c r="H15" s="1">
        <v>7.6</v>
      </c>
      <c r="I15" s="1">
        <f t="shared" si="1"/>
        <v>76.58</v>
      </c>
      <c r="J15" s="1"/>
    </row>
    <row r="16" spans="1:15">
      <c r="A16" s="1"/>
      <c r="B16" s="1"/>
      <c r="C16" s="1" t="s">
        <v>20</v>
      </c>
      <c r="D16" s="1"/>
      <c r="E16" s="1"/>
      <c r="F16" s="1" t="s">
        <v>43</v>
      </c>
      <c r="G16" s="1">
        <v>0.89</v>
      </c>
      <c r="H16" s="1">
        <v>23.9</v>
      </c>
      <c r="I16" s="1">
        <f t="shared" si="1"/>
        <v>24.35</v>
      </c>
      <c r="J16" s="1" t="s">
        <v>44</v>
      </c>
    </row>
    <row r="17" spans="1:14">
      <c r="A17" s="1"/>
      <c r="B17" s="1"/>
      <c r="C17" s="1" t="s">
        <v>25</v>
      </c>
      <c r="D17" s="1"/>
      <c r="E17" s="1"/>
      <c r="F17" s="1" t="s">
        <v>45</v>
      </c>
      <c r="G17" s="1">
        <v>0.3</v>
      </c>
      <c r="H17" s="2">
        <v>3.25</v>
      </c>
      <c r="I17" s="1">
        <f t="shared" si="1"/>
        <v>179.08</v>
      </c>
      <c r="J17" s="1"/>
    </row>
    <row r="18" spans="1:14">
      <c r="A18" s="1"/>
      <c r="B18" s="1"/>
      <c r="C18" s="1" t="s">
        <v>28</v>
      </c>
      <c r="D18" s="1"/>
      <c r="E18" s="1"/>
      <c r="F18" s="3" t="s">
        <v>46</v>
      </c>
      <c r="G18" s="1">
        <v>0.39</v>
      </c>
      <c r="H18" s="3">
        <v>8.4700000000000006</v>
      </c>
      <c r="I18" s="1">
        <f t="shared" si="1"/>
        <v>68.709999999999994</v>
      </c>
      <c r="J18" s="1"/>
      <c r="L18" s="9"/>
      <c r="M18" s="10"/>
      <c r="N18" s="10"/>
    </row>
    <row r="19" spans="1:14">
      <c r="A19" s="1"/>
      <c r="B19" s="1"/>
      <c r="C19" s="1" t="s">
        <v>30</v>
      </c>
      <c r="D19" s="1"/>
      <c r="E19" s="1"/>
      <c r="F19" s="1" t="s">
        <v>45</v>
      </c>
      <c r="G19" s="1">
        <v>0.28999999999999998</v>
      </c>
      <c r="H19" s="3">
        <v>3.94</v>
      </c>
      <c r="I19" s="1">
        <f t="shared" si="1"/>
        <v>147.72</v>
      </c>
      <c r="J19" s="1"/>
      <c r="L19" s="9"/>
      <c r="M19" s="10"/>
      <c r="N19" s="10"/>
    </row>
    <row r="20" spans="1:14">
      <c r="A20" s="1"/>
      <c r="B20" s="1"/>
      <c r="C20" s="1" t="s">
        <v>32</v>
      </c>
      <c r="D20" s="1"/>
      <c r="E20" s="1"/>
      <c r="F20" s="1" t="s">
        <v>47</v>
      </c>
      <c r="G20" s="1">
        <v>0.35</v>
      </c>
      <c r="H20" s="3">
        <v>16.510000000000002</v>
      </c>
      <c r="I20" s="1">
        <f t="shared" si="1"/>
        <v>35.25</v>
      </c>
      <c r="J20" s="1"/>
      <c r="L20" s="9"/>
      <c r="M20" s="10"/>
      <c r="N20" s="10"/>
    </row>
    <row r="21" spans="1:14">
      <c r="A21" s="1"/>
      <c r="B21" s="1"/>
      <c r="C21" s="1" t="s">
        <v>34</v>
      </c>
      <c r="D21" s="1"/>
      <c r="E21" s="1"/>
      <c r="F21" s="1" t="s">
        <v>48</v>
      </c>
      <c r="G21" s="1">
        <v>0.45</v>
      </c>
      <c r="H21" s="1">
        <v>160.54</v>
      </c>
      <c r="I21" s="1">
        <f t="shared" si="1"/>
        <v>3.63</v>
      </c>
      <c r="J21" s="1"/>
      <c r="L21" s="9"/>
      <c r="M21" s="10"/>
      <c r="N21" s="10"/>
    </row>
    <row r="22" spans="1:14">
      <c r="A22" s="1"/>
      <c r="B22" s="1"/>
      <c r="C22" s="1" t="s">
        <v>36</v>
      </c>
      <c r="D22" s="1"/>
      <c r="E22" s="1"/>
      <c r="F22" s="1" t="s">
        <v>49</v>
      </c>
      <c r="G22" s="1">
        <v>0.38</v>
      </c>
      <c r="H22" s="1">
        <v>38.64</v>
      </c>
      <c r="I22" s="1">
        <f t="shared" si="1"/>
        <v>15.06</v>
      </c>
      <c r="J22" s="1"/>
      <c r="L22" s="9"/>
      <c r="M22" s="10"/>
      <c r="N22" s="10"/>
    </row>
    <row r="23" spans="1:14">
      <c r="A23" s="1"/>
      <c r="B23" s="1"/>
      <c r="C23" s="1"/>
      <c r="D23" s="1"/>
      <c r="E23" s="1"/>
      <c r="F23" s="3"/>
      <c r="G23" s="1"/>
      <c r="H23" s="3"/>
      <c r="I23" s="1"/>
      <c r="J23" s="1"/>
      <c r="L23" s="9"/>
      <c r="M23" s="10"/>
      <c r="N23" s="10"/>
    </row>
    <row r="24" spans="1:14">
      <c r="A24" s="1" t="s">
        <v>50</v>
      </c>
      <c r="B24" s="1" t="s">
        <v>51</v>
      </c>
      <c r="C24" s="1" t="s">
        <v>13</v>
      </c>
      <c r="D24" s="1" t="s">
        <v>52</v>
      </c>
      <c r="E24" s="1">
        <v>22.9</v>
      </c>
      <c r="F24" s="1" t="s">
        <v>53</v>
      </c>
      <c r="G24" s="1">
        <v>0.56999999999999995</v>
      </c>
      <c r="H24" s="1">
        <v>3.39</v>
      </c>
      <c r="I24" s="1">
        <f>ROUND(255/H24,2)</f>
        <v>75.22</v>
      </c>
      <c r="J24" s="1"/>
      <c r="L24" s="9"/>
      <c r="M24" s="10"/>
      <c r="N24" s="10"/>
    </row>
    <row r="25" spans="1:14">
      <c r="A25" s="1"/>
      <c r="B25" s="1"/>
      <c r="C25" s="1" t="s">
        <v>16</v>
      </c>
      <c r="D25" s="1"/>
      <c r="E25" s="1">
        <v>22</v>
      </c>
      <c r="F25" s="1" t="s">
        <v>54</v>
      </c>
      <c r="G25" s="1">
        <v>0.31</v>
      </c>
      <c r="H25" s="1">
        <v>4.8</v>
      </c>
      <c r="I25" s="1">
        <f t="shared" ref="I25:I33" si="2">ROUND(255/H25,2)</f>
        <v>53.13</v>
      </c>
      <c r="J25" s="1"/>
      <c r="L25" s="9"/>
      <c r="M25" s="10"/>
      <c r="N25" s="10"/>
    </row>
    <row r="26" spans="1:14">
      <c r="A26" s="1"/>
      <c r="B26" s="1"/>
      <c r="C26" s="1" t="s">
        <v>18</v>
      </c>
      <c r="D26" s="1"/>
      <c r="E26" s="1">
        <v>17.920000000000002</v>
      </c>
      <c r="F26" s="1" t="s">
        <v>55</v>
      </c>
      <c r="G26" s="2">
        <v>0.25</v>
      </c>
      <c r="H26" s="2">
        <v>2.4</v>
      </c>
      <c r="I26" s="1">
        <f t="shared" si="2"/>
        <v>106.25</v>
      </c>
      <c r="J26" s="1"/>
      <c r="L26" s="9"/>
      <c r="M26" s="10"/>
      <c r="N26" s="10"/>
    </row>
    <row r="27" spans="1:14">
      <c r="A27" s="1"/>
      <c r="B27" s="1"/>
      <c r="C27" s="1" t="s">
        <v>20</v>
      </c>
      <c r="D27" s="1"/>
      <c r="E27" s="1"/>
      <c r="F27" s="1" t="s">
        <v>56</v>
      </c>
      <c r="G27" s="1">
        <v>0.88</v>
      </c>
      <c r="H27" s="1">
        <v>6.04</v>
      </c>
      <c r="I27" s="1">
        <f t="shared" si="2"/>
        <v>42.22</v>
      </c>
      <c r="J27" s="1" t="s">
        <v>44</v>
      </c>
      <c r="L27" s="9"/>
      <c r="M27" s="10"/>
      <c r="N27" s="10"/>
    </row>
    <row r="28" spans="1:14">
      <c r="A28" s="1"/>
      <c r="B28" s="1"/>
      <c r="C28" s="1" t="s">
        <v>25</v>
      </c>
      <c r="D28" s="1"/>
      <c r="E28" s="1"/>
      <c r="F28" s="3" t="s">
        <v>57</v>
      </c>
      <c r="G28" s="2">
        <v>0.25</v>
      </c>
      <c r="H28" s="1">
        <v>0.74</v>
      </c>
      <c r="I28" s="1">
        <f t="shared" si="2"/>
        <v>344.59</v>
      </c>
      <c r="J28" s="1"/>
    </row>
    <row r="29" spans="1:14">
      <c r="A29" s="1"/>
      <c r="B29" s="1"/>
      <c r="C29" s="1" t="s">
        <v>28</v>
      </c>
      <c r="D29" s="1"/>
      <c r="E29" s="1"/>
      <c r="F29" s="3" t="s">
        <v>58</v>
      </c>
      <c r="G29" s="1">
        <v>0.26</v>
      </c>
      <c r="H29" s="3">
        <v>5.18</v>
      </c>
      <c r="I29" s="1">
        <f t="shared" si="2"/>
        <v>49.23</v>
      </c>
      <c r="J29" s="1"/>
    </row>
    <row r="30" spans="1:14">
      <c r="A30" s="1"/>
      <c r="B30" s="1"/>
      <c r="C30" s="1" t="s">
        <v>30</v>
      </c>
      <c r="D30" s="1"/>
      <c r="E30" s="1"/>
      <c r="F30" s="1" t="s">
        <v>59</v>
      </c>
      <c r="G30" s="1">
        <v>0.22</v>
      </c>
      <c r="H30" s="3">
        <v>1.8</v>
      </c>
      <c r="I30" s="1">
        <f t="shared" si="2"/>
        <v>141.66999999999999</v>
      </c>
      <c r="J30" s="1"/>
    </row>
    <row r="31" spans="1:14">
      <c r="A31" s="1"/>
      <c r="B31" s="1"/>
      <c r="C31" s="1" t="s">
        <v>32</v>
      </c>
      <c r="D31" s="1"/>
      <c r="E31" s="1"/>
      <c r="F31" s="1" t="s">
        <v>60</v>
      </c>
      <c r="G31" s="1">
        <v>0.3</v>
      </c>
      <c r="H31" s="3">
        <v>11.72</v>
      </c>
      <c r="I31" s="1">
        <f t="shared" si="2"/>
        <v>21.76</v>
      </c>
      <c r="J31" s="1"/>
    </row>
    <row r="32" spans="1:14">
      <c r="A32" s="1"/>
      <c r="B32" s="1"/>
      <c r="C32" s="1" t="s">
        <v>34</v>
      </c>
      <c r="D32" s="1"/>
      <c r="E32" s="1"/>
      <c r="F32" s="1" t="s">
        <v>61</v>
      </c>
      <c r="G32" s="1">
        <v>0.41</v>
      </c>
      <c r="H32" s="1">
        <v>78.239999999999995</v>
      </c>
      <c r="I32" s="1">
        <f t="shared" si="2"/>
        <v>3.26</v>
      </c>
      <c r="J32" s="1"/>
    </row>
    <row r="33" spans="1:10">
      <c r="A33" s="1"/>
      <c r="B33" s="1"/>
      <c r="C33" s="1" t="s">
        <v>36</v>
      </c>
      <c r="D33" s="1"/>
      <c r="E33" s="1"/>
      <c r="F33" s="1" t="s">
        <v>62</v>
      </c>
      <c r="G33" s="1">
        <v>0.75</v>
      </c>
      <c r="H33" s="1">
        <v>25.04</v>
      </c>
      <c r="I33" s="1">
        <f t="shared" si="2"/>
        <v>10.18</v>
      </c>
      <c r="J33" s="1" t="s">
        <v>22</v>
      </c>
    </row>
    <row r="34" spans="1:10">
      <c r="A34" s="1"/>
      <c r="B34" s="1"/>
      <c r="C34" s="1"/>
      <c r="D34" s="1"/>
      <c r="E34" s="1"/>
      <c r="F34" s="3"/>
      <c r="G34" s="1"/>
      <c r="H34" s="3"/>
      <c r="I34" s="1"/>
      <c r="J34" s="1"/>
    </row>
    <row r="35" spans="1:10">
      <c r="A35" s="1" t="s">
        <v>63</v>
      </c>
      <c r="B35" s="1" t="s">
        <v>64</v>
      </c>
      <c r="C35" s="1" t="s">
        <v>13</v>
      </c>
      <c r="D35" s="1" t="s">
        <v>65</v>
      </c>
      <c r="E35" s="1">
        <v>41</v>
      </c>
      <c r="F35" s="1" t="s">
        <v>66</v>
      </c>
      <c r="G35" s="1">
        <v>0.77</v>
      </c>
      <c r="H35" s="1">
        <v>16.38</v>
      </c>
      <c r="I35" s="1">
        <f>ROUND(988/H35,2)</f>
        <v>60.32</v>
      </c>
      <c r="J35" s="1"/>
    </row>
    <row r="36" spans="1:10">
      <c r="A36" s="1"/>
      <c r="B36" s="1"/>
      <c r="C36" s="1" t="s">
        <v>16</v>
      </c>
      <c r="D36" s="1"/>
      <c r="E36" s="1">
        <v>64</v>
      </c>
      <c r="F36" s="1" t="s">
        <v>67</v>
      </c>
      <c r="G36" s="1">
        <v>0.5</v>
      </c>
      <c r="H36" s="1">
        <v>15.4</v>
      </c>
      <c r="I36" s="1">
        <f t="shared" ref="I36:I43" si="3">ROUND(988/H36,2)</f>
        <v>64.16</v>
      </c>
      <c r="J36" s="1"/>
    </row>
    <row r="37" spans="1:10">
      <c r="A37" s="1"/>
      <c r="B37" s="1"/>
      <c r="C37" s="1" t="s">
        <v>18</v>
      </c>
      <c r="D37" s="1"/>
      <c r="E37" s="1">
        <v>40.590000000000003</v>
      </c>
      <c r="F37" s="1"/>
      <c r="G37" s="1"/>
      <c r="H37" s="1"/>
      <c r="I37" s="1"/>
      <c r="J37" s="1"/>
    </row>
    <row r="38" spans="1:10">
      <c r="A38" s="1"/>
      <c r="B38" s="1"/>
      <c r="C38" s="1" t="s">
        <v>20</v>
      </c>
      <c r="D38" s="1"/>
      <c r="E38" s="1"/>
      <c r="F38" s="1"/>
      <c r="G38" s="1"/>
      <c r="H38" s="1"/>
      <c r="I38" s="1"/>
      <c r="J38" s="1"/>
    </row>
    <row r="39" spans="1:10">
      <c r="A39" s="1"/>
      <c r="B39" s="1"/>
      <c r="C39" s="1" t="s">
        <v>28</v>
      </c>
      <c r="D39" s="1"/>
      <c r="E39" s="1"/>
      <c r="F39" s="3" t="s">
        <v>68</v>
      </c>
      <c r="G39" s="1">
        <v>0.62</v>
      </c>
      <c r="H39" s="3">
        <v>17.02</v>
      </c>
      <c r="I39" s="1">
        <f t="shared" si="3"/>
        <v>58.05</v>
      </c>
      <c r="J39" s="1"/>
    </row>
    <row r="40" spans="1:10">
      <c r="A40" s="1"/>
      <c r="B40" s="1"/>
      <c r="C40" s="1" t="s">
        <v>30</v>
      </c>
      <c r="D40" s="1"/>
      <c r="E40" s="1"/>
      <c r="F40" s="1" t="s">
        <v>69</v>
      </c>
      <c r="G40" s="1">
        <v>0.45</v>
      </c>
      <c r="H40" s="3">
        <v>6.56</v>
      </c>
      <c r="I40" s="1">
        <f t="shared" si="3"/>
        <v>150.61000000000001</v>
      </c>
      <c r="J40" s="1"/>
    </row>
    <row r="41" spans="1:10">
      <c r="A41" s="1"/>
      <c r="B41" s="1"/>
      <c r="C41" s="1" t="s">
        <v>32</v>
      </c>
      <c r="D41" s="1"/>
      <c r="E41" s="1"/>
      <c r="F41" s="1" t="s">
        <v>70</v>
      </c>
      <c r="G41" s="1">
        <v>0.56999999999999995</v>
      </c>
      <c r="H41" s="3">
        <v>26.64</v>
      </c>
      <c r="I41" s="1">
        <f t="shared" si="3"/>
        <v>37.090000000000003</v>
      </c>
      <c r="J41" s="1"/>
    </row>
    <row r="42" spans="1:10">
      <c r="A42" s="1"/>
      <c r="B42" s="1"/>
      <c r="C42" s="1" t="s">
        <v>34</v>
      </c>
      <c r="D42" s="1"/>
      <c r="E42" s="1"/>
      <c r="F42" s="1" t="s">
        <v>71</v>
      </c>
      <c r="G42" s="1">
        <v>0.73</v>
      </c>
      <c r="H42" s="1">
        <v>227.82</v>
      </c>
      <c r="I42" s="1">
        <f t="shared" si="3"/>
        <v>4.34</v>
      </c>
      <c r="J42" s="1"/>
    </row>
    <row r="43" spans="1:10">
      <c r="A43" s="1"/>
      <c r="B43" s="1"/>
      <c r="C43" s="1" t="s">
        <v>36</v>
      </c>
      <c r="D43" s="1"/>
      <c r="E43" s="1"/>
      <c r="F43" s="1" t="s">
        <v>72</v>
      </c>
      <c r="G43" s="1">
        <v>0.63</v>
      </c>
      <c r="H43" s="1">
        <v>68.34</v>
      </c>
      <c r="I43" s="1">
        <f t="shared" si="3"/>
        <v>14.46</v>
      </c>
      <c r="J43" s="1"/>
    </row>
    <row r="44" spans="1:10">
      <c r="A44" s="1"/>
      <c r="B44" s="1"/>
      <c r="C44" s="1"/>
      <c r="D44" s="1"/>
      <c r="E44" s="1"/>
      <c r="F44" s="3"/>
      <c r="G44" s="1"/>
      <c r="H44" s="3"/>
      <c r="I44" s="1"/>
      <c r="J44" s="1"/>
    </row>
    <row r="45" spans="1:10">
      <c r="A45" s="1" t="s">
        <v>73</v>
      </c>
      <c r="B45" s="4">
        <v>1.0145833333333334</v>
      </c>
      <c r="C45" s="1" t="s">
        <v>13</v>
      </c>
      <c r="D45" s="1" t="s">
        <v>74</v>
      </c>
      <c r="E45" s="1">
        <v>78</v>
      </c>
      <c r="F45" s="1" t="s">
        <v>75</v>
      </c>
      <c r="G45" s="1">
        <v>0.41</v>
      </c>
      <c r="H45" s="1">
        <v>21.95</v>
      </c>
      <c r="I45" s="1">
        <f>ROUND(1461/H45,2)</f>
        <v>66.56</v>
      </c>
      <c r="J45" s="1"/>
    </row>
    <row r="46" spans="1:10">
      <c r="A46" s="1"/>
      <c r="B46" s="1"/>
      <c r="C46" s="1" t="s">
        <v>16</v>
      </c>
      <c r="D46" s="1"/>
      <c r="E46" s="1">
        <v>87</v>
      </c>
      <c r="F46" s="1" t="s">
        <v>76</v>
      </c>
      <c r="G46" s="1">
        <v>0.3</v>
      </c>
      <c r="H46" s="1">
        <v>26.55</v>
      </c>
      <c r="I46" s="1">
        <f t="shared" ref="I46:I53" si="4">ROUND(1461/H46,2)</f>
        <v>55.03</v>
      </c>
      <c r="J46" s="1"/>
    </row>
    <row r="47" spans="1:10">
      <c r="A47" s="1"/>
      <c r="B47" s="1"/>
      <c r="C47" s="1" t="s">
        <v>18</v>
      </c>
      <c r="D47" s="1"/>
      <c r="E47" s="1">
        <v>65</v>
      </c>
      <c r="F47" s="1"/>
      <c r="G47" s="1"/>
      <c r="H47" s="1"/>
      <c r="I47" s="1"/>
      <c r="J47" s="1"/>
    </row>
    <row r="48" spans="1:10">
      <c r="A48" s="1"/>
      <c r="B48" s="1"/>
      <c r="C48" s="1" t="s">
        <v>20</v>
      </c>
      <c r="D48" s="1"/>
      <c r="E48" s="1"/>
      <c r="F48" s="1"/>
      <c r="G48" s="1"/>
      <c r="H48" s="1"/>
      <c r="I48" s="1"/>
      <c r="J48" s="1"/>
    </row>
    <row r="49" spans="1:10">
      <c r="A49" s="1"/>
      <c r="B49" s="1"/>
      <c r="C49" s="1" t="s">
        <v>28</v>
      </c>
      <c r="D49" s="1"/>
      <c r="E49" s="1"/>
      <c r="F49" s="3" t="s">
        <v>77</v>
      </c>
      <c r="G49" s="1">
        <v>0.36</v>
      </c>
      <c r="H49" s="3">
        <v>32.25</v>
      </c>
      <c r="I49" s="1">
        <f t="shared" si="4"/>
        <v>45.3</v>
      </c>
      <c r="J49" s="1"/>
    </row>
    <row r="50" spans="1:10">
      <c r="A50" s="1"/>
      <c r="B50" s="1"/>
      <c r="C50" s="1" t="s">
        <v>30</v>
      </c>
      <c r="D50" s="1"/>
      <c r="E50" s="1"/>
      <c r="F50" s="1" t="s">
        <v>78</v>
      </c>
      <c r="G50" s="1">
        <v>0.28000000000000003</v>
      </c>
      <c r="H50" s="3">
        <v>9.83</v>
      </c>
      <c r="I50" s="1">
        <f t="shared" si="4"/>
        <v>148.63</v>
      </c>
      <c r="J50" s="1"/>
    </row>
    <row r="51" spans="1:10">
      <c r="A51" s="1"/>
      <c r="B51" s="1"/>
      <c r="C51" s="1" t="s">
        <v>32</v>
      </c>
      <c r="D51" s="1"/>
      <c r="E51" s="1"/>
      <c r="F51" s="1" t="s">
        <v>79</v>
      </c>
      <c r="G51" s="1">
        <v>0.36</v>
      </c>
      <c r="H51" s="1">
        <v>42.62</v>
      </c>
      <c r="I51" s="1">
        <f t="shared" si="4"/>
        <v>34.28</v>
      </c>
      <c r="J51" s="1"/>
    </row>
    <row r="52" spans="1:10">
      <c r="A52" s="1"/>
      <c r="B52" s="1"/>
      <c r="C52" s="1" t="s">
        <v>34</v>
      </c>
      <c r="D52" s="1"/>
      <c r="E52" s="1"/>
      <c r="F52" s="1" t="s">
        <v>80</v>
      </c>
      <c r="G52" s="1">
        <v>0.6</v>
      </c>
      <c r="H52" s="1">
        <v>388.89</v>
      </c>
      <c r="I52" s="1">
        <f t="shared" si="4"/>
        <v>3.76</v>
      </c>
      <c r="J52" s="1"/>
    </row>
    <row r="53" spans="1:10">
      <c r="A53" s="1"/>
      <c r="B53" s="1"/>
      <c r="C53" s="1" t="s">
        <v>36</v>
      </c>
      <c r="D53" s="1"/>
      <c r="E53" s="1"/>
      <c r="F53" s="1" t="s">
        <v>81</v>
      </c>
      <c r="G53" s="1">
        <v>0.5</v>
      </c>
      <c r="H53" s="1">
        <v>92.06</v>
      </c>
      <c r="I53" s="1">
        <f t="shared" si="4"/>
        <v>15.87</v>
      </c>
      <c r="J53"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43A2B-28AC-49CB-80CC-E1AC24C083D0}">
  <dimension ref="A1:D11"/>
  <sheetViews>
    <sheetView tabSelected="1" workbookViewId="0">
      <selection activeCell="C7" sqref="C7"/>
    </sheetView>
  </sheetViews>
  <sheetFormatPr defaultRowHeight="14.45"/>
  <cols>
    <col min="1" max="1" width="21.140625" customWidth="1"/>
    <col min="2" max="2" width="10.5703125" customWidth="1"/>
    <col min="3" max="3" width="72.28515625" customWidth="1"/>
    <col min="4" max="4" width="11.7109375" customWidth="1"/>
  </cols>
  <sheetData>
    <row r="1" spans="1:4">
      <c r="A1" s="5" t="s">
        <v>2</v>
      </c>
      <c r="B1" s="6" t="s">
        <v>82</v>
      </c>
      <c r="C1" s="6" t="s">
        <v>83</v>
      </c>
      <c r="D1" s="6" t="s">
        <v>9</v>
      </c>
    </row>
    <row r="2" spans="1:4">
      <c r="A2" s="12" t="s">
        <v>36</v>
      </c>
      <c r="B2" s="12" t="s">
        <v>84</v>
      </c>
      <c r="C2" s="12" t="s">
        <v>85</v>
      </c>
      <c r="D2" s="12" t="s">
        <v>86</v>
      </c>
    </row>
    <row r="3" spans="1:4">
      <c r="A3" s="1" t="s">
        <v>13</v>
      </c>
      <c r="C3" t="s">
        <v>87</v>
      </c>
      <c r="D3" t="s">
        <v>88</v>
      </c>
    </row>
    <row r="4" spans="1:4">
      <c r="A4" s="1" t="s">
        <v>89</v>
      </c>
      <c r="C4" t="s">
        <v>90</v>
      </c>
      <c r="D4" t="s">
        <v>91</v>
      </c>
    </row>
    <row r="5" spans="1:4">
      <c r="A5" t="s">
        <v>25</v>
      </c>
      <c r="C5" t="s">
        <v>92</v>
      </c>
      <c r="D5" t="s">
        <v>93</v>
      </c>
    </row>
    <row r="6" spans="1:4">
      <c r="A6" t="s">
        <v>28</v>
      </c>
      <c r="C6" t="s">
        <v>94</v>
      </c>
      <c r="D6" t="s">
        <v>95</v>
      </c>
    </row>
    <row r="7" spans="1:4">
      <c r="A7" t="s">
        <v>30</v>
      </c>
      <c r="C7" t="s">
        <v>96</v>
      </c>
      <c r="D7" t="s">
        <v>97</v>
      </c>
    </row>
    <row r="8" spans="1:4">
      <c r="A8" s="11" t="s">
        <v>32</v>
      </c>
      <c r="C8" t="s">
        <v>98</v>
      </c>
      <c r="D8" t="s">
        <v>99</v>
      </c>
    </row>
    <row r="9" spans="1:4">
      <c r="A9" t="s">
        <v>34</v>
      </c>
      <c r="D9" t="s">
        <v>100</v>
      </c>
    </row>
    <row r="10" spans="1:4">
      <c r="A10" s="12" t="s">
        <v>18</v>
      </c>
      <c r="B10" s="12"/>
      <c r="C10" s="12" t="s">
        <v>101</v>
      </c>
      <c r="D10" s="12"/>
    </row>
    <row r="11" spans="1:4">
      <c r="A11" s="12" t="s">
        <v>20</v>
      </c>
      <c r="B11" s="12"/>
      <c r="C11" s="12" t="s">
        <v>102</v>
      </c>
      <c r="D11"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Davinder Singh</dc:creator>
  <cp:keywords/>
  <dc:description/>
  <cp:lastModifiedBy>Kunal Rout</cp:lastModifiedBy>
  <cp:revision/>
  <dcterms:created xsi:type="dcterms:W3CDTF">2024-11-13T16:31:36Z</dcterms:created>
  <dcterms:modified xsi:type="dcterms:W3CDTF">2025-07-29T05:39:14Z</dcterms:modified>
  <cp:category/>
  <cp:contentStatus/>
</cp:coreProperties>
</file>